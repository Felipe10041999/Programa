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X:\ANDREA RODRIGUEZ\9. SEPTIEMBRE\"/>
    </mc:Choice>
  </mc:AlternateContent>
  <xr:revisionPtr revIDLastSave="0" documentId="13_ncr:1_{0029E81B-A113-4F39-B004-FFE48141EE62}" xr6:coauthVersionLast="47" xr6:coauthVersionMax="47" xr10:uidLastSave="{00000000-0000-0000-0000-000000000000}"/>
  <bookViews>
    <workbookView xWindow="-110" yWindow="-110" windowWidth="19420" windowHeight="10420" tabRatio="771" activeTab="1" xr2:uid="{00000000-000D-0000-FFFF-FFFF00000000}"/>
  </bookViews>
  <sheets>
    <sheet name="COMO VAMOS" sheetId="2" r:id="rId1"/>
    <sheet name="PRELIMINAR" sheetId="3" r:id="rId2"/>
    <sheet name="PAGOS" sheetId="6" r:id="rId3"/>
    <sheet name="SEGUIMIENTO" sheetId="1" r:id="rId4"/>
    <sheet name="TABLA" sheetId="4" r:id="rId5"/>
    <sheet name="REINTEGROS" sheetId="8" r:id="rId6"/>
    <sheet name="LINK" sheetId="7" r:id="rId7"/>
  </sheets>
  <definedNames>
    <definedName name="_xlnm._FilterDatabase" localSheetId="0" hidden="1">'COMO VAMOS'!$A$3:$F$31</definedName>
    <definedName name="_xlnm._FilterDatabase" localSheetId="1" hidden="1">PRELIMINAR!$A$1:$Q$511</definedName>
    <definedName name="_xlnm._FilterDatabase" localSheetId="3" hidden="1">SEGUIMIENTO!$A$1:$K$389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2" i="3"/>
  <c r="B38" i="2" l="1"/>
  <c r="B37" i="2"/>
  <c r="B35" i="2"/>
  <c r="F11" i="2" l="1"/>
  <c r="F12" i="2"/>
  <c r="F19" i="2"/>
  <c r="F20" i="2"/>
  <c r="F22" i="2"/>
  <c r="F27" i="2"/>
  <c r="F28" i="2"/>
  <c r="F5" i="2"/>
  <c r="F6" i="2"/>
  <c r="F7" i="2"/>
  <c r="F8" i="2"/>
  <c r="F9" i="2"/>
  <c r="F10" i="2"/>
  <c r="F13" i="2"/>
  <c r="F14" i="2"/>
  <c r="F15" i="2"/>
  <c r="F16" i="2"/>
  <c r="F17" i="2"/>
  <c r="F18" i="2"/>
  <c r="F21" i="2"/>
  <c r="F23" i="2"/>
  <c r="F24" i="2"/>
  <c r="F25" i="2"/>
  <c r="F26" i="2"/>
  <c r="F29" i="2"/>
  <c r="F30" i="2"/>
  <c r="F31" i="2" l="1"/>
  <c r="H31" i="2" s="1"/>
  <c r="B40" i="2"/>
  <c r="B36" i="2" l="1"/>
  <c r="E3" i="4" l="1"/>
  <c r="F3" i="4" s="1"/>
  <c r="E2" i="4"/>
  <c r="F2" i="4" s="1"/>
  <c r="F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4" i="2"/>
  <c r="B39" i="2" l="1"/>
</calcChain>
</file>

<file path=xl/sharedStrings.xml><?xml version="1.0" encoding="utf-8"?>
<sst xmlns="http://schemas.openxmlformats.org/spreadsheetml/2006/main" count="1768" uniqueCount="90">
  <si>
    <t>SINIESTRO</t>
  </si>
  <si>
    <t>SOLICITUD</t>
  </si>
  <si>
    <t>Cartera</t>
  </si>
  <si>
    <t>Asignacion</t>
  </si>
  <si>
    <t>Identificacion</t>
  </si>
  <si>
    <t>Codigo</t>
  </si>
  <si>
    <t>Grupo</t>
  </si>
  <si>
    <t>VLR PRIMER PAGO</t>
  </si>
  <si>
    <t>Nuevo Vigente</t>
  </si>
  <si>
    <t>HERNANDEZ CASTIBLANCO ANGIE LORENA</t>
  </si>
  <si>
    <t>NGSO</t>
  </si>
  <si>
    <t>DIAZ MELO CRISTIAN DAVID</t>
  </si>
  <si>
    <t>MILLAN CEDEÑO MARIA CAMILA</t>
  </si>
  <si>
    <t>NARANJO HERNANDEZ DIANA ROCIO</t>
  </si>
  <si>
    <t>RINCON LINARES VALERY BRILLIT</t>
  </si>
  <si>
    <t>ACOSTA BLANCO MARIA ALEJANDRA</t>
  </si>
  <si>
    <t>PANQUEVA ARAGON YURI VANESSA</t>
  </si>
  <si>
    <t>VEGA ACERO YERITSON ADRIAN</t>
  </si>
  <si>
    <t>DOMINGUEZ CARRASCO NICOL DALLAN</t>
  </si>
  <si>
    <t>YEPEZ BETANCOURTH CAROL TATIANA</t>
  </si>
  <si>
    <t>DIAZ BARRETO IRMA ROSA</t>
  </si>
  <si>
    <t>BERMUDEZ CORREA JUAN MANUEL</t>
  </si>
  <si>
    <t>AVILA BOHORQUEZ JOHAN CAMILO</t>
  </si>
  <si>
    <t>MARTINEZ MARTINEZ YIBETH DANERY</t>
  </si>
  <si>
    <t>NISPERUZA SANCHEZ NATALIA INES</t>
  </si>
  <si>
    <t>BURGOS PINEDA SANDI MARCELA</t>
  </si>
  <si>
    <t>PEREZ CIFUENTES GINNA ALEJANDRA</t>
  </si>
  <si>
    <t>DUARTE MAPE MARIA FERNANDA</t>
  </si>
  <si>
    <t>Nuevo Vigente - Respetado</t>
  </si>
  <si>
    <t>LINARES LAGOS LUZ ADRIANA</t>
  </si>
  <si>
    <t>MARTINEZ ESCOBAR DENNIS ALEJANDRA</t>
  </si>
  <si>
    <t>CASTIBLANCO RINCON JULIETH ALEXANDRA</t>
  </si>
  <si>
    <t>CARO BOLAÑO MARELEIMYS JUDITH</t>
  </si>
  <si>
    <t>FERNANDEZ CARMONA CAMILA</t>
  </si>
  <si>
    <t>MALDONADO MOYANO SARA NATALIA</t>
  </si>
  <si>
    <t>LEON CAÑON LUIS ARMANDO</t>
  </si>
  <si>
    <t>Etiquetas de fila</t>
  </si>
  <si>
    <t>Total general</t>
  </si>
  <si>
    <t>Cuenta de SOLICITUD</t>
  </si>
  <si>
    <t>META</t>
  </si>
  <si>
    <t>META POR ASESOR</t>
  </si>
  <si>
    <t xml:space="preserve">META </t>
  </si>
  <si>
    <t>RECAUDO</t>
  </si>
  <si>
    <t xml:space="preserve">% CUMPLIMIENTO </t>
  </si>
  <si>
    <t>% CUMPLIMIENTO</t>
  </si>
  <si>
    <t>FALTANTE META</t>
  </si>
  <si>
    <t>POLIZA</t>
  </si>
  <si>
    <t>Tipo Poliza</t>
  </si>
  <si>
    <t>FECHA</t>
  </si>
  <si>
    <t>GESTION</t>
  </si>
  <si>
    <t>GESTION COMPLETA</t>
  </si>
  <si>
    <t>LINKS OFICINA</t>
  </si>
  <si>
    <t>LINKS CASA</t>
  </si>
  <si>
    <t>REINTEGROS</t>
  </si>
  <si>
    <t>GESTION DIARIA</t>
  </si>
  <si>
    <t>GONZALEZ NANCY ALEJANDRA</t>
  </si>
  <si>
    <t>CORTES RONCANCIO JULIANA ANDREA</t>
  </si>
  <si>
    <t>PROYECCION</t>
  </si>
  <si>
    <t xml:space="preserve">TOTAL RECAUDO + PROYECCION </t>
  </si>
  <si>
    <t>%</t>
  </si>
  <si>
    <t>VIGENTES</t>
  </si>
  <si>
    <t>HONORARIOS</t>
  </si>
  <si>
    <t>CANON + ADM</t>
  </si>
  <si>
    <t>PAGOS</t>
  </si>
  <si>
    <t>TOTAL</t>
  </si>
  <si>
    <t>MILLAN CEDENO MARIA CAMILA</t>
  </si>
  <si>
    <t>NO CONTESTA</t>
  </si>
  <si>
    <t>ACUERDO</t>
  </si>
  <si>
    <t xml:space="preserve">IDENT. DEUDOR </t>
  </si>
  <si>
    <t>NOMBRE DEUDOR</t>
  </si>
  <si>
    <t>VALOR</t>
  </si>
  <si>
    <t>OBSERVACION</t>
  </si>
  <si>
    <t>% HON</t>
  </si>
  <si>
    <t>HON</t>
  </si>
  <si>
    <t>CANON</t>
  </si>
  <si>
    <t>VALOR PUNTO</t>
  </si>
  <si>
    <t>Desocupado Segundo Semestre 2023 - 2025</t>
  </si>
  <si>
    <t>Suma de Tipo Poliza</t>
  </si>
  <si>
    <t>PQR</t>
  </si>
  <si>
    <t>REINTEGRO</t>
  </si>
  <si>
    <t>GESTION 22</t>
  </si>
  <si>
    <t>GESTION 23</t>
  </si>
  <si>
    <t>POSIBLE</t>
  </si>
  <si>
    <t>PTE RESPUESTA ABOGADO</t>
  </si>
  <si>
    <t>PTE PAGO HOY</t>
  </si>
  <si>
    <t>PTE INMOBILIARIA</t>
  </si>
  <si>
    <t>GESTION 24</t>
  </si>
  <si>
    <t>TERMINADO</t>
  </si>
  <si>
    <t>LIQUIDACIONES</t>
  </si>
  <si>
    <t>GESTION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</si>
</sst>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%"/>
    <numFmt numFmtId="166" formatCode="_-* #,##0.00&quot; €&quot;_-;\-* #,##0.00&quot; €&quot;_-;_-* \-??&quot; €&quot;_-;_-@_-"/>
    <numFmt numFmtId="167" formatCode="_-&quot;$ &quot;* #,##0.00_-;&quot;-$ &quot;* #,##0.00_-;_-&quot;$ &quot;* \-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u/>
      <sz val="11"/>
      <color theme="10"/>
      <name val="Calibri"/>
      <family val="2"/>
      <charset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0000"/>
        <bgColor rgb="FF9C000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Border="0" applyProtection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4" fillId="0" borderId="0"/>
    <xf numFmtId="167" fontId="3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166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6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6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7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7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7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7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167" fontId="3" fillId="0" borderId="0" applyBorder="0" applyProtection="0"/>
    <xf numFmtId="166" fontId="3" fillId="0" borderId="0" applyBorder="0" applyProtection="0"/>
    <xf numFmtId="166" fontId="3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Border="0" applyProtection="0"/>
    <xf numFmtId="9" fontId="3" fillId="0" borderId="0" applyBorder="0" applyProtection="0"/>
    <xf numFmtId="9" fontId="3" fillId="0" borderId="0" applyBorder="0" applyProtection="0"/>
    <xf numFmtId="9" fontId="3" fillId="0" borderId="0" applyBorder="0" applyProtection="0"/>
    <xf numFmtId="9" fontId="3" fillId="0" borderId="0" applyBorder="0" applyProtection="0"/>
    <xf numFmtId="9" fontId="3" fillId="0" borderId="0" applyBorder="0" applyProtection="0"/>
    <xf numFmtId="9" fontId="3" fillId="0" borderId="0" applyBorder="0" applyProtection="0"/>
    <xf numFmtId="9" fontId="3" fillId="0" borderId="0" applyBorder="0" applyProtection="0"/>
    <xf numFmtId="9" fontId="3" fillId="0" borderId="0" applyBorder="0" applyProtection="0"/>
    <xf numFmtId="9" fontId="3" fillId="0" borderId="0" applyBorder="0" applyProtection="0"/>
    <xf numFmtId="9" fontId="3" fillId="0" borderId="0" applyBorder="0" applyProtection="0"/>
    <xf numFmtId="9" fontId="3" fillId="0" borderId="0" applyBorder="0" applyProtection="0"/>
    <xf numFmtId="9" fontId="3" fillId="0" borderId="0" applyBorder="0" applyProtection="0"/>
    <xf numFmtId="9" fontId="3" fillId="0" borderId="0" applyBorder="0" applyProtection="0"/>
    <xf numFmtId="9" fontId="3" fillId="0" borderId="0" applyBorder="0" applyProtection="0"/>
    <xf numFmtId="9" fontId="3" fillId="0" borderId="0" applyBorder="0" applyProtection="0"/>
    <xf numFmtId="9" fontId="3" fillId="0" borderId="0" applyBorder="0" applyProtection="0"/>
    <xf numFmtId="9" fontId="3" fillId="0" borderId="0" applyBorder="0" applyProtection="0"/>
    <xf numFmtId="9" fontId="3" fillId="0" borderId="0" applyBorder="0" applyProtection="0"/>
    <xf numFmtId="9" fontId="3" fillId="0" borderId="0" applyBorder="0" applyProtection="0"/>
    <xf numFmtId="9" fontId="3" fillId="0" borderId="0" applyBorder="0" applyProtection="0"/>
    <xf numFmtId="0" fontId="9" fillId="0" borderId="0"/>
    <xf numFmtId="0" fontId="5" fillId="0" borderId="0" applyBorder="0" applyProtection="0"/>
    <xf numFmtId="0" fontId="3" fillId="0" borderId="0"/>
    <xf numFmtId="9" fontId="3" fillId="0" borderId="0" applyBorder="0" applyProtection="0"/>
  </cellStyleXfs>
  <cellXfs count="61">
    <xf numFmtId="0" fontId="0" fillId="0" borderId="0" xfId="0"/>
    <xf numFmtId="164" fontId="0" fillId="0" borderId="0" xfId="1" applyNumberFormat="1" applyFont="1"/>
    <xf numFmtId="164" fontId="0" fillId="0" borderId="1" xfId="1" applyNumberFormat="1" applyFont="1" applyBorder="1"/>
    <xf numFmtId="164" fontId="0" fillId="0" borderId="1" xfId="0" applyNumberFormat="1" applyBorder="1"/>
    <xf numFmtId="9" fontId="0" fillId="0" borderId="1" xfId="2" applyFont="1" applyBorder="1"/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0" fillId="0" borderId="1" xfId="7" applyNumberFormat="1" applyFont="1" applyBorder="1"/>
    <xf numFmtId="164" fontId="0" fillId="0" borderId="1" xfId="77" applyNumberFormat="1" applyFont="1" applyBorder="1"/>
    <xf numFmtId="0" fontId="6" fillId="2" borderId="1" xfId="0" applyFont="1" applyFill="1" applyBorder="1"/>
    <xf numFmtId="0" fontId="7" fillId="0" borderId="0" xfId="0" applyFont="1" applyAlignment="1">
      <alignment horizontal="left" vertical="center"/>
    </xf>
    <xf numFmtId="0" fontId="8" fillId="0" borderId="1" xfId="0" applyFont="1" applyBorder="1"/>
    <xf numFmtId="164" fontId="8" fillId="0" borderId="1" xfId="1" applyNumberFormat="1" applyFont="1" applyBorder="1"/>
    <xf numFmtId="164" fontId="7" fillId="0" borderId="0" xfId="1" applyNumberFormat="1" applyFont="1" applyBorder="1" applyProtection="1"/>
    <xf numFmtId="9" fontId="7" fillId="0" borderId="0" xfId="4" applyFont="1" applyBorder="1" applyAlignment="1" applyProtection="1">
      <alignment horizontal="left" vertical="center"/>
    </xf>
    <xf numFmtId="164" fontId="7" fillId="0" borderId="0" xfId="1" applyNumberFormat="1" applyFont="1" applyBorder="1" applyAlignment="1" applyProtection="1">
      <alignment horizontal="left" vertical="center"/>
    </xf>
    <xf numFmtId="0" fontId="2" fillId="5" borderId="1" xfId="0" applyFont="1" applyFill="1" applyBorder="1"/>
    <xf numFmtId="164" fontId="2" fillId="5" borderId="1" xfId="1" applyNumberFormat="1" applyFont="1" applyFill="1" applyBorder="1"/>
    <xf numFmtId="0" fontId="0" fillId="0" borderId="0" xfId="1" applyNumberFormat="1" applyFont="1"/>
    <xf numFmtId="0" fontId="7" fillId="0" borderId="1" xfId="0" applyFont="1" applyBorder="1" applyAlignment="1">
      <alignment horizontal="left" vertical="center"/>
    </xf>
    <xf numFmtId="0" fontId="6" fillId="3" borderId="1" xfId="0" applyFont="1" applyFill="1" applyBorder="1"/>
    <xf numFmtId="164" fontId="6" fillId="3" borderId="1" xfId="1" applyNumberFormat="1" applyFont="1" applyFill="1" applyBorder="1"/>
    <xf numFmtId="14" fontId="6" fillId="3" borderId="1" xfId="1" applyNumberFormat="1" applyFont="1" applyFill="1" applyBorder="1"/>
    <xf numFmtId="44" fontId="6" fillId="3" borderId="1" xfId="1" applyFont="1" applyFill="1" applyBorder="1"/>
    <xf numFmtId="0" fontId="8" fillId="0" borderId="0" xfId="0" applyFont="1"/>
    <xf numFmtId="14" fontId="8" fillId="0" borderId="1" xfId="0" applyNumberFormat="1" applyFont="1" applyBorder="1"/>
    <xf numFmtId="164" fontId="8" fillId="0" borderId="0" xfId="1" applyNumberFormat="1" applyFont="1"/>
    <xf numFmtId="14" fontId="8" fillId="0" borderId="0" xfId="0" applyNumberFormat="1" applyFont="1"/>
    <xf numFmtId="14" fontId="7" fillId="0" borderId="1" xfId="0" applyNumberFormat="1" applyFont="1" applyBorder="1" applyAlignment="1">
      <alignment horizontal="right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vertical="center"/>
    </xf>
    <xf numFmtId="164" fontId="10" fillId="6" borderId="1" xfId="1" applyNumberFormat="1" applyFont="1" applyFill="1" applyBorder="1" applyAlignment="1">
      <alignment horizontal="left" vertical="center"/>
    </xf>
    <xf numFmtId="9" fontId="10" fillId="6" borderId="1" xfId="2" applyFont="1" applyFill="1" applyBorder="1" applyAlignment="1" applyProtection="1">
      <alignment horizontal="left" vertical="center"/>
    </xf>
    <xf numFmtId="0" fontId="11" fillId="0" borderId="1" xfId="0" applyFont="1" applyBorder="1" applyAlignment="1">
      <alignment vertical="center"/>
    </xf>
    <xf numFmtId="0" fontId="8" fillId="7" borderId="1" xfId="0" applyFont="1" applyFill="1" applyBorder="1"/>
    <xf numFmtId="0" fontId="2" fillId="7" borderId="1" xfId="0" applyFont="1" applyFill="1" applyBorder="1" applyAlignment="1">
      <alignment horizontal="center"/>
    </xf>
    <xf numFmtId="164" fontId="10" fillId="6" borderId="1" xfId="1" applyNumberFormat="1" applyFont="1" applyFill="1" applyBorder="1" applyAlignment="1" applyProtection="1">
      <alignment horizontal="left" vertical="center"/>
    </xf>
    <xf numFmtId="0" fontId="8" fillId="8" borderId="1" xfId="0" applyFont="1" applyFill="1" applyBorder="1"/>
    <xf numFmtId="0" fontId="8" fillId="0" borderId="1" xfId="0" applyFont="1" applyBorder="1" applyAlignment="1">
      <alignment horizontal="left"/>
    </xf>
    <xf numFmtId="164" fontId="8" fillId="0" borderId="1" xfId="0" applyNumberFormat="1" applyFont="1" applyBorder="1"/>
    <xf numFmtId="165" fontId="6" fillId="0" borderId="1" xfId="2" applyNumberFormat="1" applyFont="1" applyBorder="1"/>
    <xf numFmtId="164" fontId="8" fillId="0" borderId="1" xfId="1" applyNumberFormat="1" applyFont="1" applyFill="1" applyBorder="1"/>
    <xf numFmtId="0" fontId="12" fillId="4" borderId="1" xfId="0" applyFont="1" applyFill="1" applyBorder="1" applyAlignment="1">
      <alignment horizontal="left"/>
    </xf>
    <xf numFmtId="164" fontId="12" fillId="4" borderId="1" xfId="0" applyNumberFormat="1" applyFont="1" applyFill="1" applyBorder="1"/>
    <xf numFmtId="164" fontId="12" fillId="4" borderId="1" xfId="1" applyNumberFormat="1" applyFont="1" applyFill="1" applyBorder="1"/>
    <xf numFmtId="0" fontId="8" fillId="8" borderId="1" xfId="0" applyFont="1" applyFill="1" applyBorder="1" applyAlignment="1">
      <alignment horizontal="left"/>
    </xf>
    <xf numFmtId="164" fontId="8" fillId="8" borderId="1" xfId="0" applyNumberFormat="1" applyFont="1" applyFill="1" applyBorder="1"/>
    <xf numFmtId="164" fontId="6" fillId="9" borderId="1" xfId="0" applyNumberFormat="1" applyFont="1" applyFill="1" applyBorder="1"/>
    <xf numFmtId="0" fontId="6" fillId="8" borderId="1" xfId="0" applyFont="1" applyFill="1" applyBorder="1"/>
    <xf numFmtId="164" fontId="8" fillId="4" borderId="1" xfId="1" applyNumberFormat="1" applyFont="1" applyFill="1" applyBorder="1"/>
    <xf numFmtId="14" fontId="7" fillId="0" borderId="1" xfId="0" applyNumberFormat="1" applyFont="1" applyBorder="1" applyAlignment="1">
      <alignment horizontal="left" vertical="center"/>
    </xf>
    <xf numFmtId="9" fontId="8" fillId="0" borderId="0" xfId="2" applyFont="1"/>
    <xf numFmtId="165" fontId="8" fillId="0" borderId="0" xfId="0" applyNumberFormat="1" applyFont="1"/>
    <xf numFmtId="165" fontId="6" fillId="4" borderId="1" xfId="2" applyNumberFormat="1" applyFont="1" applyFill="1" applyBorder="1"/>
    <xf numFmtId="164" fontId="7" fillId="0" borderId="0" xfId="1" applyNumberFormat="1" applyFont="1" applyAlignment="1">
      <alignment horizontal="left" vertical="center"/>
    </xf>
    <xf numFmtId="0" fontId="12" fillId="4" borderId="1" xfId="0" applyFont="1" applyFill="1" applyBorder="1"/>
    <xf numFmtId="0" fontId="6" fillId="10" borderId="1" xfId="0" applyFont="1" applyFill="1" applyBorder="1" applyAlignment="1">
      <alignment horizontal="center"/>
    </xf>
    <xf numFmtId="164" fontId="6" fillId="10" borderId="1" xfId="1" applyNumberFormat="1" applyFont="1" applyFill="1" applyBorder="1" applyAlignment="1">
      <alignment horizontal="center"/>
    </xf>
    <xf numFmtId="0" fontId="8" fillId="4" borderId="1" xfId="0" applyFont="1" applyFill="1" applyBorder="1"/>
  </cellXfs>
  <cellStyles count="316">
    <cellStyle name="Hipervínculo 2" xfId="11" xr:uid="{F05916D9-8584-4176-8845-9A848ED9FF57}"/>
    <cellStyle name="Hipervínculo 2 2" xfId="12" xr:uid="{02576B79-03C6-4826-AEA1-AC82B2B11F99}"/>
    <cellStyle name="Hipervínculo 2 3" xfId="13" xr:uid="{1697546F-90AC-44BC-9628-1B0BED2AB5FE}"/>
    <cellStyle name="Hipervínculo 2 4" xfId="14" xr:uid="{9237876C-FFA8-40D6-86A6-105F86BB7F26}"/>
    <cellStyle name="Hipervínculo 2 5" xfId="313" xr:uid="{8416C204-74FA-436D-82D4-12501D148DB0}"/>
    <cellStyle name="Hipervínculo 3" xfId="15" xr:uid="{B0C49FD2-90DF-4EF1-B9B5-9F33392B53C7}"/>
    <cellStyle name="Hipervínculo 4" xfId="16" xr:uid="{8880EC9C-DDB8-4B01-A784-936616C10D4E}"/>
    <cellStyle name="Hipervínculo 5" xfId="17" xr:uid="{D8BC58B2-823D-4E29-AA75-114210CEF913}"/>
    <cellStyle name="Hipervínculo 6" xfId="10" xr:uid="{A03258C9-990A-4310-AE74-5F75F47C8D04}"/>
    <cellStyle name="Moneda" xfId="1" builtinId="4"/>
    <cellStyle name="Moneda 10" xfId="18" xr:uid="{439A2D87-3797-49FD-BA74-DFD5B4715810}"/>
    <cellStyle name="Moneda 11" xfId="19" xr:uid="{1C6169B9-33FB-4F55-AF66-73C4F5687C4F}"/>
    <cellStyle name="Moneda 11 2" xfId="20" xr:uid="{C6A9E598-A33C-4A07-8294-221278178421}"/>
    <cellStyle name="Moneda 11 2 2" xfId="21" xr:uid="{6D0919B6-430B-45D0-A3B0-5994C3E20C23}"/>
    <cellStyle name="Moneda 11 3" xfId="22" xr:uid="{8E364978-8CB8-46D8-85A9-F21FF06EBDD2}"/>
    <cellStyle name="Moneda 11 4" xfId="23" xr:uid="{4FC1CD8F-D973-4858-A9A4-3DB7F9469387}"/>
    <cellStyle name="Moneda 12" xfId="24" xr:uid="{882C184D-2FB9-40EC-82D9-8D60C090D05E}"/>
    <cellStyle name="Moneda 13" xfId="25" xr:uid="{DF7A966B-85CD-47A0-9BF4-494D677CD6FB}"/>
    <cellStyle name="Moneda 14" xfId="26" xr:uid="{92BF52CE-237C-47B4-B8F5-0875B3E35DFE}"/>
    <cellStyle name="Moneda 15" xfId="27" xr:uid="{2EA15217-27B5-4D1A-A034-9DB104E974EE}"/>
    <cellStyle name="Moneda 16" xfId="28" xr:uid="{C7AD208E-EF34-4625-AD13-6F9FFD005BE5}"/>
    <cellStyle name="Moneda 17" xfId="29" xr:uid="{A5E57696-F6B3-4850-BC6E-5FD38D36CFDB}"/>
    <cellStyle name="Moneda 18" xfId="30" xr:uid="{0E6FC6DF-803D-44D1-866B-A12FF4242946}"/>
    <cellStyle name="Moneda 19" xfId="9" xr:uid="{4D704593-9884-4EF6-8FEC-FC44349332F1}"/>
    <cellStyle name="Moneda 2" xfId="7" xr:uid="{93CDC304-01A2-4686-A164-BCE12E615DB2}"/>
    <cellStyle name="Moneda 2 10" xfId="32" xr:uid="{ED5557F3-E467-4949-9848-F23489A649CC}"/>
    <cellStyle name="Moneda 2 11" xfId="33" xr:uid="{92880143-9774-4AEE-989C-572319400ED1}"/>
    <cellStyle name="Moneda 2 12" xfId="34" xr:uid="{A854E72F-271B-4A58-AE0F-A76695568728}"/>
    <cellStyle name="Moneda 2 13" xfId="35" xr:uid="{DB379E00-E534-42CD-858C-E1A414CB2661}"/>
    <cellStyle name="Moneda 2 14" xfId="36" xr:uid="{9A15EC6C-E463-4373-8656-A53750E71003}"/>
    <cellStyle name="Moneda 2 15" xfId="31" xr:uid="{85024CC9-DF69-4997-9ADE-DF6969CD44C8}"/>
    <cellStyle name="Moneda 2 2" xfId="37" xr:uid="{9D37E04A-0BEA-4E1C-A855-219670173380}"/>
    <cellStyle name="Moneda 2 2 2" xfId="38" xr:uid="{E00AC783-F633-4D85-9B89-FB44D6986351}"/>
    <cellStyle name="Moneda 2 2 2 2" xfId="39" xr:uid="{16F7AE36-FA02-4C70-855F-EA1B7D373116}"/>
    <cellStyle name="Moneda 2 2 2 3" xfId="40" xr:uid="{BF17FD53-611F-4672-920E-70BF9473DEEF}"/>
    <cellStyle name="Moneda 2 2 3" xfId="41" xr:uid="{DFBDE7CA-90A7-41B2-97FD-7113DFB766A8}"/>
    <cellStyle name="Moneda 2 2 3 2" xfId="42" xr:uid="{8B3AD6F0-06CB-4CB8-A2BC-37F31F74E3FD}"/>
    <cellStyle name="Moneda 2 2 3 3" xfId="43" xr:uid="{2928E5E1-09D1-4178-8E6A-48D0F34EA4C9}"/>
    <cellStyle name="Moneda 2 2 4" xfId="44" xr:uid="{6746A8DE-3C21-4B2C-BA44-00D555E8DF73}"/>
    <cellStyle name="Moneda 2 2 4 2" xfId="45" xr:uid="{8F1F7822-A11D-4966-AE7F-D2D7EE62C3E6}"/>
    <cellStyle name="Moneda 2 2 5" xfId="46" xr:uid="{FF5C3DC7-CE33-4D1B-8436-CB622BC30F3C}"/>
    <cellStyle name="Moneda 2 2 6" xfId="47" xr:uid="{C139738A-BD24-4F27-B220-CC25DDBCC883}"/>
    <cellStyle name="Moneda 2 2 7" xfId="48" xr:uid="{17C84F39-6460-4393-85C4-53C3B31CB6F6}"/>
    <cellStyle name="Moneda 2 2 8" xfId="49" xr:uid="{1F6B47FC-42CC-42CE-8AE6-779611ABE7C7}"/>
    <cellStyle name="Moneda 2 3" xfId="50" xr:uid="{631C9ECC-8AC5-4F54-A481-E99BC33D8D54}"/>
    <cellStyle name="Moneda 2 3 2" xfId="51" xr:uid="{0837A875-5F41-4B8E-94F1-B3047CE74483}"/>
    <cellStyle name="Moneda 2 3 2 2" xfId="52" xr:uid="{4A476C45-B7C9-4C01-9B2F-B6E05734BA5F}"/>
    <cellStyle name="Moneda 2 3 3" xfId="53" xr:uid="{2D382E1F-D6E5-43A0-9974-C323CDF76C36}"/>
    <cellStyle name="Moneda 2 3 3 2" xfId="54" xr:uid="{E171150F-1E8B-4FA8-9A2E-43CB2F30AA14}"/>
    <cellStyle name="Moneda 2 3 4" xfId="55" xr:uid="{AD8D54BD-77DE-45F9-93F3-D165670A906F}"/>
    <cellStyle name="Moneda 2 3 4 2" xfId="56" xr:uid="{E7E98571-9086-4DEF-9279-AE01C45DAEC7}"/>
    <cellStyle name="Moneda 2 3 5" xfId="57" xr:uid="{81E925B9-ADDE-4031-970A-944B92DFA488}"/>
    <cellStyle name="Moneda 2 3 6" xfId="58" xr:uid="{8493D9E9-D44E-4BA8-AA2F-8F143CC3CE9E}"/>
    <cellStyle name="Moneda 2 4" xfId="59" xr:uid="{AF180E90-D04E-4DC4-A25E-9E20B475255F}"/>
    <cellStyle name="Moneda 2 4 2" xfId="60" xr:uid="{2FC712DF-CB67-4C5B-B7E1-7361319D57AC}"/>
    <cellStyle name="Moneda 2 4 2 2" xfId="61" xr:uid="{02409C8C-C409-48B5-BC57-A9C8B94DB865}"/>
    <cellStyle name="Moneda 2 4 3" xfId="62" xr:uid="{802F09ED-5ABE-4BF1-8FB8-D306379B97AF}"/>
    <cellStyle name="Moneda 2 4 3 2" xfId="63" xr:uid="{25E73C40-7A57-4A67-85FE-DC1E0A6EE49D}"/>
    <cellStyle name="Moneda 2 4 4" xfId="64" xr:uid="{27135A1E-45C4-4CCD-ADA6-9D58305498C5}"/>
    <cellStyle name="Moneda 2 4 4 2" xfId="65" xr:uid="{105FD7D2-B0FA-44ED-8746-4EE295DB3750}"/>
    <cellStyle name="Moneda 2 4 5" xfId="66" xr:uid="{8C6FD791-5B9F-4C55-BB84-98938ACA5B30}"/>
    <cellStyle name="Moneda 2 4 6" xfId="67" xr:uid="{C5C9F993-6634-4220-9571-E28BF398BEF6}"/>
    <cellStyle name="Moneda 2 5" xfId="68" xr:uid="{89A76AE2-059F-4F2A-88D4-0A5A9FC6E324}"/>
    <cellStyle name="Moneda 2 5 2" xfId="69" xr:uid="{38ED2751-ED2D-410A-A676-DA1B20539AD7}"/>
    <cellStyle name="Moneda 2 5 3" xfId="70" xr:uid="{E0310836-95DB-4BA9-9C43-6FF57C6E7BCB}"/>
    <cellStyle name="Moneda 2 6" xfId="71" xr:uid="{3AE8911D-C7AB-433E-A505-E3AF1D40C1A0}"/>
    <cellStyle name="Moneda 2 6 2" xfId="72" xr:uid="{BFD302CB-DBA4-456B-803E-39DCB127761C}"/>
    <cellStyle name="Moneda 2 7" xfId="73" xr:uid="{87D6BA26-1AA6-48CA-84A0-9DB5A285049F}"/>
    <cellStyle name="Moneda 2 7 2" xfId="74" xr:uid="{53FC33D7-B36E-401A-9C98-3A31067ECE0D}"/>
    <cellStyle name="Moneda 2 8" xfId="75" xr:uid="{6B633C39-D8D8-4728-BDBE-EBAB04333CA3}"/>
    <cellStyle name="Moneda 2 9" xfId="76" xr:uid="{81AE093B-CCC2-415A-B0A0-E129291EA64D}"/>
    <cellStyle name="Moneda 3" xfId="77" xr:uid="{C38BE1B4-E11B-46E7-A388-CDB0CF7C546E}"/>
    <cellStyle name="Moneda 3 10" xfId="78" xr:uid="{AC89648B-55EA-4AF4-AD82-42552DDB1EB1}"/>
    <cellStyle name="Moneda 3 11" xfId="79" xr:uid="{95EBB115-ABF1-424E-801B-3857F384E033}"/>
    <cellStyle name="Moneda 3 12" xfId="80" xr:uid="{000B3D91-C611-446B-AF7C-45E3F7923B36}"/>
    <cellStyle name="Moneda 3 2" xfId="81" xr:uid="{16A23329-2007-4BD5-A807-76720FB60E76}"/>
    <cellStyle name="Moneda 3 2 2" xfId="82" xr:uid="{627AC882-2A8E-48B4-B8DA-B97E1D514C82}"/>
    <cellStyle name="Moneda 3 2 2 2" xfId="83" xr:uid="{98CB5702-AA4E-4554-BBEF-3B44D9964BAF}"/>
    <cellStyle name="Moneda 3 2 3" xfId="84" xr:uid="{46F86230-50F6-4AE9-BCCB-21118BC86896}"/>
    <cellStyle name="Moneda 3 2 3 2" xfId="85" xr:uid="{45CD2963-FA47-49C0-AD94-76820A513013}"/>
    <cellStyle name="Moneda 3 2 4" xfId="86" xr:uid="{CBAD5B33-971E-48CF-A617-C5C278E809FE}"/>
    <cellStyle name="Moneda 3 2 4 2" xfId="87" xr:uid="{C738DED1-A8E8-4C82-A956-F00944DC1D59}"/>
    <cellStyle name="Moneda 3 2 5" xfId="88" xr:uid="{835B42EA-DCB2-47F0-A38E-34F8850885F7}"/>
    <cellStyle name="Moneda 3 2 6" xfId="89" xr:uid="{8B3E1231-B0BE-4465-A438-45D046C43936}"/>
    <cellStyle name="Moneda 3 3" xfId="90" xr:uid="{A1E91701-996D-4872-9B8E-006423ED1032}"/>
    <cellStyle name="Moneda 3 3 2" xfId="91" xr:uid="{E9AD6C5D-3B10-4104-A700-25E47989A0D8}"/>
    <cellStyle name="Moneda 3 3 2 2" xfId="92" xr:uid="{2A74713F-7619-4EB5-A37C-E9290E62509C}"/>
    <cellStyle name="Moneda 3 3 3" xfId="93" xr:uid="{FCE3876B-FA09-407F-82EC-F1DC266E796F}"/>
    <cellStyle name="Moneda 3 3 3 2" xfId="94" xr:uid="{2394EDCF-643B-4D70-B9D8-7A45A82C2886}"/>
    <cellStyle name="Moneda 3 3 4" xfId="95" xr:uid="{0AE087A3-927F-4252-8A65-4C8C1AE507CB}"/>
    <cellStyle name="Moneda 3 3 5" xfId="96" xr:uid="{72D13C2C-86C3-489B-8A86-0D5198B97EFE}"/>
    <cellStyle name="Moneda 3 4" xfId="97" xr:uid="{AD0E545D-2BBE-4334-835F-8F29C17114CD}"/>
    <cellStyle name="Moneda 3 4 2" xfId="98" xr:uid="{E1EC14AE-2FEC-47F1-8681-3902DE43AB7A}"/>
    <cellStyle name="Moneda 3 5" xfId="99" xr:uid="{262C42E5-6E5A-43E9-9A3D-9A6668652D93}"/>
    <cellStyle name="Moneda 3 5 2" xfId="100" xr:uid="{BE71C9BA-1031-41B3-8415-9B49A7F67BD6}"/>
    <cellStyle name="Moneda 3 6" xfId="101" xr:uid="{9082D69A-44A7-4C67-85EB-8480D930D48B}"/>
    <cellStyle name="Moneda 3 6 2" xfId="102" xr:uid="{1F7CD683-168C-4D8F-8A2D-F894A8407E85}"/>
    <cellStyle name="Moneda 3 7" xfId="103" xr:uid="{A48B074F-0B6F-4E58-B68B-1E87A0616AAF}"/>
    <cellStyle name="Moneda 3 8" xfId="104" xr:uid="{A731A709-4B94-4C5E-A663-D3A22512D5F4}"/>
    <cellStyle name="Moneda 3 9" xfId="105" xr:uid="{9D559FB8-382A-4353-987E-F6A26A10FDC6}"/>
    <cellStyle name="Moneda 4" xfId="106" xr:uid="{769D1342-7A7A-4D00-B8A5-623D9A0E9640}"/>
    <cellStyle name="Moneda 4 2" xfId="107" xr:uid="{F27F6192-832A-4F99-92FC-01E34EFDA392}"/>
    <cellStyle name="Moneda 4 2 2" xfId="108" xr:uid="{42AECAD6-7F0C-45FC-A380-493CB41E4232}"/>
    <cellStyle name="Moneda 4 2 3" xfId="109" xr:uid="{2AD42D56-6880-4813-AAD7-BCB5E08A5103}"/>
    <cellStyle name="Moneda 4 3" xfId="110" xr:uid="{3288561B-8F9A-432E-8C46-BF9EEA864F11}"/>
    <cellStyle name="Moneda 4 3 2" xfId="111" xr:uid="{89DA058F-2D01-4CD9-94DF-6F93118C9FE6}"/>
    <cellStyle name="Moneda 4 3 3" xfId="112" xr:uid="{002F3BAB-78FC-4EB7-B7B4-841D8A6B0A1B}"/>
    <cellStyle name="Moneda 4 4" xfId="113" xr:uid="{FDC221FB-3EDD-4EB7-ABA5-D7B3E86D58D2}"/>
    <cellStyle name="Moneda 4 4 2" xfId="114" xr:uid="{DF9ADC8E-AEC5-470C-A406-EF43202BF5B5}"/>
    <cellStyle name="Moneda 4 5" xfId="115" xr:uid="{9F524876-6F07-440F-B707-D400420AFFD0}"/>
    <cellStyle name="Moneda 4 6" xfId="116" xr:uid="{E398FAF1-AD59-4A2A-92C0-CE4CB9690FA3}"/>
    <cellStyle name="Moneda 4 7" xfId="117" xr:uid="{3FAF15C4-C45D-4E0E-BCDF-9FFB2797CBD7}"/>
    <cellStyle name="Moneda 4 8" xfId="118" xr:uid="{F6D7FFA3-AC68-47FC-8C85-3F913FB601AF}"/>
    <cellStyle name="Moneda 40" xfId="119" xr:uid="{41363585-14BA-456B-A2CA-3F9540C06D7B}"/>
    <cellStyle name="Moneda 40 2" xfId="120" xr:uid="{82AB0343-412A-49D0-B954-6D2BE389C52B}"/>
    <cellStyle name="Moneda 40 2 2" xfId="121" xr:uid="{47A04746-D02A-476B-B623-8CF77DD42904}"/>
    <cellStyle name="Moneda 40 3" xfId="122" xr:uid="{7E2DBD9D-3BA0-4F7A-AFBB-B8A23BF3A6F5}"/>
    <cellStyle name="Moneda 40 3 2" xfId="123" xr:uid="{DD06E9F3-BBDC-404F-8FAE-D27ADA96F211}"/>
    <cellStyle name="Moneda 40 4" xfId="124" xr:uid="{0339FD4C-F224-4102-A720-DE9EC48B8473}"/>
    <cellStyle name="Moneda 40 4 2" xfId="125" xr:uid="{272797E3-B259-4C41-BECD-CA22127C597C}"/>
    <cellStyle name="Moneda 40 5" xfId="126" xr:uid="{94AFB2D3-3F7E-4F2A-9271-8A3E044CEE03}"/>
    <cellStyle name="Moneda 40 6" xfId="127" xr:uid="{E4C8F446-6A31-47AD-944C-959CFE81DB11}"/>
    <cellStyle name="Moneda 5" xfId="128" xr:uid="{214D6706-B719-4ACA-823E-B686DE5393FC}"/>
    <cellStyle name="Moneda 5 2" xfId="129" xr:uid="{2E82BBEA-1493-4C99-A08F-9F50978B0D36}"/>
    <cellStyle name="Moneda 5 2 2" xfId="130" xr:uid="{4B1EBF4E-D4FC-4E2F-B79E-3F641507C866}"/>
    <cellStyle name="Moneda 5 3" xfId="131" xr:uid="{EFEA44E8-D1E6-4FF9-93C3-481B0ACD534E}"/>
    <cellStyle name="Moneda 5 3 2" xfId="132" xr:uid="{F3757047-7728-4DE2-85EA-957E9AD41F1E}"/>
    <cellStyle name="Moneda 5 4" xfId="133" xr:uid="{A925ED15-D7E7-404A-AB00-BF943502B23B}"/>
    <cellStyle name="Moneda 5 4 2" xfId="134" xr:uid="{C05F871C-26A5-4AFB-B41F-C0FB564C1833}"/>
    <cellStyle name="Moneda 5 5" xfId="135" xr:uid="{765E6F68-F55C-4764-A970-0C5DE19BAEFD}"/>
    <cellStyle name="Moneda 5 6" xfId="136" xr:uid="{0B44F3FD-B225-4710-8DF2-D5DEA2BA2DEE}"/>
    <cellStyle name="Moneda 6" xfId="137" xr:uid="{D9E9EAD1-9172-4B26-9B5A-39E159626622}"/>
    <cellStyle name="Moneda 6 2" xfId="138" xr:uid="{37398A4A-23AD-41C2-B52B-C11CF28C9A39}"/>
    <cellStyle name="Moneda 6 2 2" xfId="139" xr:uid="{0EC181CF-9443-4382-9C0E-156A4F94C029}"/>
    <cellStyle name="Moneda 6 2 3" xfId="140" xr:uid="{2695CC0F-43D9-4BB9-BEFC-99BAEA65D18E}"/>
    <cellStyle name="Moneda 6 3" xfId="141" xr:uid="{FBBF128E-83CE-4B85-8F6A-34B0D0914D23}"/>
    <cellStyle name="Moneda 6 3 2" xfId="142" xr:uid="{035D8D52-F3FC-43E4-B1C1-E44D2452C192}"/>
    <cellStyle name="Moneda 6 4" xfId="143" xr:uid="{60074C74-12F1-4594-9FF1-B2B975506099}"/>
    <cellStyle name="Moneda 6 4 2" xfId="144" xr:uid="{939B932B-161E-451A-975C-A16F96476782}"/>
    <cellStyle name="Moneda 6 5" xfId="145" xr:uid="{5083E8ED-BF97-44EE-B049-CB0118A44603}"/>
    <cellStyle name="Moneda 6 6" xfId="146" xr:uid="{68A010FA-E9FA-405F-9986-FFC6A4200109}"/>
    <cellStyle name="Moneda 6 7" xfId="147" xr:uid="{200979B1-7DBA-4387-B934-C1DB4BA306DC}"/>
    <cellStyle name="Moneda 6 8" xfId="148" xr:uid="{CB1DB2A4-CE70-4CFD-83C8-348E14B9DD65}"/>
    <cellStyle name="Moneda 7" xfId="149" xr:uid="{F8717D4D-00B8-4F33-B904-4D8F97B37E26}"/>
    <cellStyle name="Moneda 7 2" xfId="150" xr:uid="{0332989A-208C-454A-B387-417FEC782773}"/>
    <cellStyle name="Moneda 7 3" xfId="151" xr:uid="{344B6D36-3B08-46D6-B3CA-DEAA60AD206E}"/>
    <cellStyle name="Moneda 8" xfId="152" xr:uid="{CBD1D2D9-8FBE-421B-BF8E-FB45A053DE38}"/>
    <cellStyle name="Moneda 8 2" xfId="153" xr:uid="{4C1723A8-ACD0-47DC-B5FA-56C9CBC17D13}"/>
    <cellStyle name="Moneda 8 3" xfId="154" xr:uid="{60BFE2F9-72A8-4C56-A2AF-6B463877F587}"/>
    <cellStyle name="Moneda 9" xfId="155" xr:uid="{014AFA46-357B-4EAC-B7E0-5BFAD2407669}"/>
    <cellStyle name="Moneda 9 2" xfId="156" xr:uid="{1CA88BBD-1183-4B42-AF69-924DD4569DD7}"/>
    <cellStyle name="Moneda 9 3" xfId="157" xr:uid="{5476C48B-55C9-4B3D-8109-83E993041518}"/>
    <cellStyle name="Normal" xfId="0" builtinId="0"/>
    <cellStyle name="Normal 10" xfId="158" xr:uid="{9C447A25-4335-45EE-B949-51112EA3E503}"/>
    <cellStyle name="Normal 10 2" xfId="159" xr:uid="{1B4C4F5E-E197-4195-91EB-0A70854146A4}"/>
    <cellStyle name="Normal 10 2 2" xfId="160" xr:uid="{EB2DBE71-D4F2-4C9B-8DA7-4D8529EEE0FF}"/>
    <cellStyle name="Normal 10 3" xfId="161" xr:uid="{1AA1C27B-E15C-45F4-A1D0-030011BA4927}"/>
    <cellStyle name="Normal 10 3 2" xfId="162" xr:uid="{4946165A-1EF7-4C02-8C72-07C4A7756871}"/>
    <cellStyle name="Normal 10 4" xfId="163" xr:uid="{B2165844-A372-4F1E-BFAC-D45FEF8D7F5C}"/>
    <cellStyle name="Normal 10 4 2" xfId="164" xr:uid="{1A5C6382-1782-43BA-BE76-501EB3698F1B}"/>
    <cellStyle name="Normal 10 5" xfId="165" xr:uid="{4769D22A-5D6D-4787-94C0-6BEEDCD39070}"/>
    <cellStyle name="Normal 10 6" xfId="166" xr:uid="{79EE335F-BA5A-4F90-ABD7-26C089F083FD}"/>
    <cellStyle name="Normal 11" xfId="167" xr:uid="{06A97A99-C35F-45EB-BD08-088CBA606C77}"/>
    <cellStyle name="Normal 11 2" xfId="168" xr:uid="{9157C659-E6F5-42E2-8561-494F7CBAC5E7}"/>
    <cellStyle name="Normal 11 2 2" xfId="169" xr:uid="{15FA5802-B95B-4CAD-97F9-722A94519047}"/>
    <cellStyle name="Normal 11 3" xfId="170" xr:uid="{3DA5B9E0-A18E-40B0-B7BD-2D6D3D9D6A59}"/>
    <cellStyle name="Normal 11 3 2" xfId="171" xr:uid="{04D7CB05-1A03-4609-BA79-AC2B44B795EC}"/>
    <cellStyle name="Normal 11 4" xfId="172" xr:uid="{6BA0AFF7-432D-45A7-93D9-15DFA1E0EDFB}"/>
    <cellStyle name="Normal 11 4 2" xfId="173" xr:uid="{21B4425C-176B-48BA-AD89-B48E8D63B5F4}"/>
    <cellStyle name="Normal 11 5" xfId="174" xr:uid="{04E55EAE-4D5B-44C5-8391-60D3083B15FE}"/>
    <cellStyle name="Normal 11 6" xfId="175" xr:uid="{C77CA5D9-A6EC-4D63-B20B-3CD67B74F898}"/>
    <cellStyle name="Normal 12" xfId="176" xr:uid="{088C4CC9-F24A-4BF0-8767-415A3A182B51}"/>
    <cellStyle name="Normal 12 2" xfId="177" xr:uid="{51A8D389-AD21-4162-971A-4D21665C6FC6}"/>
    <cellStyle name="Normal 12 2 2" xfId="178" xr:uid="{D35E5425-1752-48BC-B026-E1FD49AE9EA8}"/>
    <cellStyle name="Normal 12 3" xfId="179" xr:uid="{A42167FA-7C94-4432-8A5F-D6FC60B0784C}"/>
    <cellStyle name="Normal 12 3 2" xfId="180" xr:uid="{48877386-B199-4936-9F58-AD7D5E5A78F8}"/>
    <cellStyle name="Normal 12 4" xfId="181" xr:uid="{394E414A-8E39-4337-97EA-B4B7C7DED3C1}"/>
    <cellStyle name="Normal 12 4 2" xfId="182" xr:uid="{C10984B2-9214-4D68-AC0C-22CF46F82111}"/>
    <cellStyle name="Normal 12 5" xfId="183" xr:uid="{F8426DD4-10FD-47ED-8007-02AA6A9B7F72}"/>
    <cellStyle name="Normal 12 6" xfId="184" xr:uid="{27640F24-5592-4F4C-909D-281FFF4F1506}"/>
    <cellStyle name="Normal 13" xfId="185" xr:uid="{7AE4AEB3-61A0-470D-9041-BA76ADD130B0}"/>
    <cellStyle name="Normal 13 2" xfId="186" xr:uid="{CCFE17C3-85E8-422C-AFBB-7040A6208D56}"/>
    <cellStyle name="Normal 13 3" xfId="187" xr:uid="{B12A4B86-2648-43D3-8916-679B0C6F53D5}"/>
    <cellStyle name="Normal 14" xfId="188" xr:uid="{CAC95146-8C08-4D1E-BF29-5A92CD3C2D0A}"/>
    <cellStyle name="Normal 14 2" xfId="189" xr:uid="{7600DAA2-2086-47E1-ADE8-0F3DBAF7011D}"/>
    <cellStyle name="Normal 15" xfId="190" xr:uid="{2AC80B2B-DF51-4D54-BB43-90E67EF71274}"/>
    <cellStyle name="Normal 15 2" xfId="191" xr:uid="{5C1C9132-F8D4-45B0-B5B6-69215FA939E5}"/>
    <cellStyle name="Normal 16" xfId="192" xr:uid="{B1C64CA2-28E3-499F-A968-320E9BEDA3AE}"/>
    <cellStyle name="Normal 17" xfId="193" xr:uid="{F2965B04-5252-4BCC-B6B3-D645E6674E14}"/>
    <cellStyle name="Normal 18" xfId="194" xr:uid="{A962243B-12E0-4A6F-85B8-6D8316CB8CF7}"/>
    <cellStyle name="Normal 19" xfId="3" xr:uid="{DD2CBF76-C3E3-450A-AC96-4E012C8E16C3}"/>
    <cellStyle name="Normal 2" xfId="195" xr:uid="{D5D1787D-D5D9-405A-9D1D-E57C38A983A9}"/>
    <cellStyle name="Normal 2 2" xfId="196" xr:uid="{58CCDAB7-95B1-4856-A71E-0A61C2D17129}"/>
    <cellStyle name="Normal 2 2 2" xfId="197" xr:uid="{59817DE6-EDAE-48E2-98E9-72CD6AAFC36E}"/>
    <cellStyle name="Normal 2 2 2 4" xfId="198" xr:uid="{C12BA913-85B1-48CC-9BC1-40BB3408E49B}"/>
    <cellStyle name="Normal 2 2 2 4 2" xfId="199" xr:uid="{757AA228-2D02-4DC8-A4A3-0282D598BA60}"/>
    <cellStyle name="Normal 2 2 2 4 2 2" xfId="200" xr:uid="{A869292C-5CDD-4C2E-B800-7989805DAABA}"/>
    <cellStyle name="Normal 2 2 2 4 3" xfId="201" xr:uid="{0B44A638-F753-43A9-A9AE-B8C88524CE4A}"/>
    <cellStyle name="Normal 2 2 3" xfId="202" xr:uid="{13C5EC1E-7DB5-4ACF-BDD3-C9B830BCE772}"/>
    <cellStyle name="Normal 2 3" xfId="203" xr:uid="{E4689FF5-73BF-49CA-B809-CED16BE44348}"/>
    <cellStyle name="Normal 2 3 2" xfId="204" xr:uid="{872E0CEB-1D08-4BBF-AEEB-3DD653447A16}"/>
    <cellStyle name="Normal 2 3 3" xfId="205" xr:uid="{2589C51C-FC26-4561-81FD-2BB2DAF77DC5}"/>
    <cellStyle name="Normal 2 4" xfId="206" xr:uid="{0C3975A0-1F3E-479C-9603-10BB769F0E73}"/>
    <cellStyle name="Normal 2 4 2" xfId="207" xr:uid="{2925FBA6-6C71-4D65-9478-AF259829D44F}"/>
    <cellStyle name="Normal 2 5" xfId="208" xr:uid="{789E8316-67C5-41F4-93B3-832AECC07822}"/>
    <cellStyle name="Normal 2 6" xfId="209" xr:uid="{2F682147-672D-4011-9354-3B251DB6F283}"/>
    <cellStyle name="Normal 2 7" xfId="210" xr:uid="{3E086B2B-DE8A-4184-B64D-3949890DBCF6}"/>
    <cellStyle name="Normal 2 8" xfId="211" xr:uid="{ADA34EDB-9A9A-4F60-A118-332EEE746AD1}"/>
    <cellStyle name="Normal 20" xfId="212" xr:uid="{08DAB031-AA34-4CFF-8F08-87ADAC5FD857}"/>
    <cellStyle name="Normal 21" xfId="213" xr:uid="{8C221131-ACAC-400C-BFB4-8C2641C79855}"/>
    <cellStyle name="Normal 22" xfId="8" xr:uid="{D5B5B259-9FA5-4037-9335-B1D34DB4A420}"/>
    <cellStyle name="Normal 22 2" xfId="314" xr:uid="{BBD77F5B-36D5-48B8-8393-60ED3C53D2CF}"/>
    <cellStyle name="Normal 23" xfId="312" xr:uid="{66CA886C-C262-4234-B99C-B5085CEC27FC}"/>
    <cellStyle name="Normal 3" xfId="214" xr:uid="{BA5B1E4C-EAAB-4CA8-8D43-76A129D7F769}"/>
    <cellStyle name="Normal 3 2" xfId="215" xr:uid="{524CDD18-A1D2-421D-97EE-F8F4876C3C15}"/>
    <cellStyle name="Normal 3 2 2" xfId="216" xr:uid="{2707ADF1-CD12-4319-9E40-A43D3FCC9BAD}"/>
    <cellStyle name="Normal 3 2 3" xfId="217" xr:uid="{4D931850-8B11-47C7-B1E3-0A5251C96311}"/>
    <cellStyle name="Normal 3 3" xfId="218" xr:uid="{99780F4F-8E2B-4947-9F48-7B032B4AA157}"/>
    <cellStyle name="Normal 3 3 2" xfId="219" xr:uid="{6BFEDC27-9032-4719-9478-06BDD6BFB92F}"/>
    <cellStyle name="Normal 3 3 3" xfId="220" xr:uid="{1000E383-5249-404B-9212-6A772464CE9D}"/>
    <cellStyle name="Normal 3 4" xfId="221" xr:uid="{8B0F7DF9-71CF-49D5-A8DC-8DE4E4078CF8}"/>
    <cellStyle name="Normal 3 4 2" xfId="222" xr:uid="{4D071C9E-B3C2-4699-840E-0C56245C5023}"/>
    <cellStyle name="Normal 3 5" xfId="223" xr:uid="{8D1F22C4-CB11-4DB7-8A1D-1811C30F0E44}"/>
    <cellStyle name="Normal 3 6" xfId="224" xr:uid="{CB7003B3-B8BF-4704-8CE3-47545309071E}"/>
    <cellStyle name="Normal 3 7" xfId="225" xr:uid="{A328545A-8A29-459A-9B0E-871BBB44B2DD}"/>
    <cellStyle name="Normal 3 8" xfId="226" xr:uid="{40CD6681-D124-4E10-A199-6A313C3D0D03}"/>
    <cellStyle name="Normal 4" xfId="227" xr:uid="{452E31F3-AE1D-4DA6-80FC-7D338EBFCA49}"/>
    <cellStyle name="Normal 4 2" xfId="228" xr:uid="{70B861F7-74C8-443A-A595-90249368CC19}"/>
    <cellStyle name="Normal 4 2 2" xfId="229" xr:uid="{B8C31852-65DC-4EF8-BC19-CC47BA708845}"/>
    <cellStyle name="Normal 4 2 3" xfId="230" xr:uid="{ADD6EA70-112A-4165-B13A-AC47F70BE518}"/>
    <cellStyle name="Normal 4 3" xfId="231" xr:uid="{F5234283-33CB-41D9-8E85-F5DBFA75D76C}"/>
    <cellStyle name="Normal 4 3 2" xfId="232" xr:uid="{C5B03ED2-2B8B-43A9-BA6E-28B7B7AFAA23}"/>
    <cellStyle name="Normal 4 3 3" xfId="233" xr:uid="{71EB5BE3-9CF0-41E4-B2A6-C11DEDADE045}"/>
    <cellStyle name="Normal 4 4" xfId="234" xr:uid="{2EB35CB9-26F1-4575-8713-EEEF9F007219}"/>
    <cellStyle name="Normal 4 4 2" xfId="235" xr:uid="{ED36F2E4-E8DB-4E0E-8C51-13581D5415ED}"/>
    <cellStyle name="Normal 4 5" xfId="236" xr:uid="{7BE7DC60-ED2E-44F5-8161-C1251695676D}"/>
    <cellStyle name="Normal 4 6" xfId="237" xr:uid="{916C3B0B-18AC-4328-A473-9E76A537A920}"/>
    <cellStyle name="Normal 4 7" xfId="238" xr:uid="{84FCAF38-5391-49BE-A648-05D506FA9CF8}"/>
    <cellStyle name="Normal 4 8" xfId="239" xr:uid="{E949A1AE-C7CF-43D7-8D7A-07F813B3A737}"/>
    <cellStyle name="Normal 5" xfId="5" xr:uid="{9DB1F452-64BE-436D-AC0B-CCB933E78D0B}"/>
    <cellStyle name="Normal 5 2" xfId="240" xr:uid="{16C3DE06-F461-4FED-892B-8288AD15CE4D}"/>
    <cellStyle name="Normal 5 2 2" xfId="241" xr:uid="{B4AF1454-A30D-46A0-800D-F4ED9534BCB9}"/>
    <cellStyle name="Normal 5 2 3" xfId="242" xr:uid="{1A639C17-A894-47F9-B878-12EA0C54F21E}"/>
    <cellStyle name="Normal 5 3" xfId="243" xr:uid="{B9EA1C70-03E8-47D5-B13F-C75ADF39B7BF}"/>
    <cellStyle name="Normal 5 3 2" xfId="244" xr:uid="{1F84226D-38FB-4248-8684-504CCF76A929}"/>
    <cellStyle name="Normal 5 3 3" xfId="245" xr:uid="{661BECEB-5CED-4C6C-873D-274561A84857}"/>
    <cellStyle name="Normal 5 4" xfId="246" xr:uid="{D68B82AB-478C-4532-8947-6967E2E3BF05}"/>
    <cellStyle name="Normal 5 4 2" xfId="247" xr:uid="{E43E6E46-82B8-4B9B-A971-A6FB5A920D58}"/>
    <cellStyle name="Normal 5 5" xfId="248" xr:uid="{C07F5F90-5221-427D-9643-5706F0A1395B}"/>
    <cellStyle name="Normal 5 6" xfId="249" xr:uid="{CBD7A93F-A2BA-4FF6-9101-793EFF65A181}"/>
    <cellStyle name="Normal 5 7" xfId="250" xr:uid="{D48E383D-683B-4721-A5CF-16BB5AC79AE0}"/>
    <cellStyle name="Normal 5 8" xfId="251" xr:uid="{17885247-FC43-4D91-AFF2-00A8FED8BE95}"/>
    <cellStyle name="Normal 6" xfId="252" xr:uid="{38D01653-F506-46D7-9C5B-B185734ADBAD}"/>
    <cellStyle name="Normal 6 2" xfId="253" xr:uid="{FFF001BD-8C2F-4CC2-AD52-25ABAF6DC539}"/>
    <cellStyle name="Normal 6 2 2" xfId="254" xr:uid="{C03772FA-F1C5-4EE1-A7CD-DB9572002041}"/>
    <cellStyle name="Normal 6 2 3" xfId="255" xr:uid="{23AC0765-86B4-4F89-AED4-94E0C68AE21C}"/>
    <cellStyle name="Normal 6 3" xfId="256" xr:uid="{F4A5A2D7-4BA5-449B-AAD7-FB72B263749C}"/>
    <cellStyle name="Normal 6 3 2" xfId="257" xr:uid="{5DABBBA3-5831-4B66-B1A6-C992B7CD12ED}"/>
    <cellStyle name="Normal 6 3 3" xfId="258" xr:uid="{5FAFA0EE-F09E-48A5-9A80-4DCC4CC51A17}"/>
    <cellStyle name="Normal 6 4" xfId="259" xr:uid="{991C5E2E-BF7F-47ED-970E-243D58B2013A}"/>
    <cellStyle name="Normal 6 4 2" xfId="260" xr:uid="{1BDE97EC-C867-402B-8EEF-54E3EF10742C}"/>
    <cellStyle name="Normal 6 5" xfId="261" xr:uid="{25E024FF-0D26-4CC7-9CA9-A6F6E9833285}"/>
    <cellStyle name="Normal 6 6" xfId="262" xr:uid="{F0CD6EEE-3EDF-43A1-ABEF-C98F44CE9968}"/>
    <cellStyle name="Normal 6 7" xfId="263" xr:uid="{BF776F38-C562-4C58-B991-7F05BD6B4914}"/>
    <cellStyle name="Normal 6 8" xfId="264" xr:uid="{6B251624-679A-4B64-B121-5909D8003EED}"/>
    <cellStyle name="Normal 7" xfId="6" xr:uid="{DCA95A3D-7B26-4D7E-B760-3A8A7F6D76A6}"/>
    <cellStyle name="Normal 7 2" xfId="265" xr:uid="{61F1DC4B-5947-4838-BF4E-1794CFB55B9F}"/>
    <cellStyle name="Normal 7 2 2" xfId="266" xr:uid="{A4F2F6CD-1E02-47DE-9353-F9EC3228AE55}"/>
    <cellStyle name="Normal 7 2 3" xfId="267" xr:uid="{5542D288-CA71-444B-8AE3-6F0D6B02F6E4}"/>
    <cellStyle name="Normal 7 3" xfId="268" xr:uid="{C2850648-D50C-4CA8-B0F5-AADF9B0036BD}"/>
    <cellStyle name="Normal 7 3 2" xfId="269" xr:uid="{79108276-3F89-4E47-99C5-8183C9C42AB1}"/>
    <cellStyle name="Normal 7 4" xfId="270" xr:uid="{A053FD1E-411E-4BC3-8439-2EC10D1200E6}"/>
    <cellStyle name="Normal 7 4 2" xfId="271" xr:uid="{01EE1C7C-2E7D-43B6-9D6C-5E1F952F7699}"/>
    <cellStyle name="Normal 7 5" xfId="272" xr:uid="{1F7420BE-6F94-41B9-B50D-E29F12C22D5C}"/>
    <cellStyle name="Normal 7 6" xfId="273" xr:uid="{3C06A5AA-EE78-4A46-ABF7-87E887BF4813}"/>
    <cellStyle name="Normal 7 7" xfId="274" xr:uid="{13BEB6B7-CBFD-4DEC-8F74-31A67466076A}"/>
    <cellStyle name="Normal 7 8" xfId="275" xr:uid="{87D4408D-4275-4F25-BF62-C3AC60356BD0}"/>
    <cellStyle name="Normal 8" xfId="276" xr:uid="{11BF5D73-7A99-4B8D-8C2D-98BDFB7D7C18}"/>
    <cellStyle name="Normal 8 2" xfId="277" xr:uid="{BCE26900-892F-4C14-A7D8-D4833B8F56B4}"/>
    <cellStyle name="Normal 8 2 2" xfId="278" xr:uid="{BC32C252-B4E9-4685-B06C-19A20505D544}"/>
    <cellStyle name="Normal 8 3" xfId="279" xr:uid="{F1584072-030E-42D0-B440-6BF8E8CFDE71}"/>
    <cellStyle name="Normal 8 4" xfId="280" xr:uid="{2DBA04AE-FE4C-490A-9617-1F027DE87987}"/>
    <cellStyle name="Normal 8 5" xfId="281" xr:uid="{C2261037-DA9A-4E5E-A9EC-530A5633BEF8}"/>
    <cellStyle name="Normal 9" xfId="282" xr:uid="{4432186E-1443-4AF4-8209-1536013FA533}"/>
    <cellStyle name="Normal 9 2" xfId="283" xr:uid="{3227522F-7C9A-4A9F-A88A-77DDE9F973D4}"/>
    <cellStyle name="Normal 9 2 2" xfId="284" xr:uid="{EBBEB428-F19D-45EC-AA5B-A5E9AB772B71}"/>
    <cellStyle name="Normal 9 3" xfId="285" xr:uid="{992A8208-09CD-41DB-96B4-E007D57AA5C0}"/>
    <cellStyle name="Normal 9 3 2" xfId="286" xr:uid="{E8ED3C66-ABEB-44AE-832A-B8EEB64919AC}"/>
    <cellStyle name="Normal 9 4" xfId="287" xr:uid="{5BC1C119-C1CA-4C8A-85DB-7918527EE847}"/>
    <cellStyle name="Normal 9 4 2" xfId="288" xr:uid="{E5E1DC64-472B-46DA-BDC9-58D31341C64D}"/>
    <cellStyle name="Normal 9 5" xfId="289" xr:uid="{3F1D3DCB-21A4-4BB2-86D0-0F69D1A8942F}"/>
    <cellStyle name="Normal 9 6" xfId="290" xr:uid="{7411CFE3-FC84-4479-8C00-C84CA318968C}"/>
    <cellStyle name="Porcentaje" xfId="2" builtinId="5"/>
    <cellStyle name="Porcentaje 2" xfId="291" xr:uid="{F506B46B-4A42-40C0-A0F0-A3DA0312E2F0}"/>
    <cellStyle name="Porcentaje 2 2" xfId="292" xr:uid="{D43A46A7-6530-41BE-B3A6-CDE42F0BC657}"/>
    <cellStyle name="Porcentaje 2 2 2" xfId="293" xr:uid="{ADA9F6DB-461C-4B13-9F96-0EA75184100D}"/>
    <cellStyle name="Porcentaje 2 3" xfId="294" xr:uid="{177ECB42-8DBF-4323-8F64-74AA5BF54C1F}"/>
    <cellStyle name="Porcentaje 2 3 2" xfId="295" xr:uid="{87B37942-41CE-400A-AB0E-CA0377C517EC}"/>
    <cellStyle name="Porcentaje 2 4" xfId="296" xr:uid="{8C245AD1-46D8-4212-934B-B40DD17E2253}"/>
    <cellStyle name="Porcentaje 2 4 2" xfId="297" xr:uid="{1B9111C1-3805-48D5-8974-0E38BF765832}"/>
    <cellStyle name="Porcentaje 2 5" xfId="298" xr:uid="{1D58DE18-AF5E-4C40-952D-617EDB9C70CE}"/>
    <cellStyle name="Porcentaje 2 6" xfId="299" xr:uid="{A74001E1-D029-490E-BCFA-7678099A955F}"/>
    <cellStyle name="Porcentaje 3" xfId="300" xr:uid="{01DC0D8D-893E-4223-AC7D-6F043D51885C}"/>
    <cellStyle name="Porcentaje 3 2" xfId="301" xr:uid="{30E1CCCB-E88C-450E-A10B-66DD8BA7F0E7}"/>
    <cellStyle name="Porcentaje 3 2 2" xfId="302" xr:uid="{0BD8CCC5-BC56-484D-B08B-5040698E195E}"/>
    <cellStyle name="Porcentaje 3 3" xfId="303" xr:uid="{C1E10C6D-F804-4780-9DF3-E8068A729383}"/>
    <cellStyle name="Porcentaje 3 3 2" xfId="304" xr:uid="{CE7A8891-57E6-4E33-AD19-62743B713BF9}"/>
    <cellStyle name="Porcentaje 3 4" xfId="305" xr:uid="{DBF02B80-0DAC-4569-AE9B-B2248C21F2F7}"/>
    <cellStyle name="Porcentaje 3 4 2" xfId="306" xr:uid="{52EEC22C-36BD-4856-843B-8C2E09547FFE}"/>
    <cellStyle name="Porcentaje 3 5" xfId="307" xr:uid="{E9DB78FF-6C3F-4284-AE0B-103CD12D3080}"/>
    <cellStyle name="Porcentaje 3 6" xfId="308" xr:uid="{C45CBB5B-342C-41EB-AB12-D52B84D2F582}"/>
    <cellStyle name="Porcentaje 4" xfId="309" xr:uid="{00886C55-3225-40A4-B7C2-E2FE8C105D58}"/>
    <cellStyle name="Porcentaje 5" xfId="4" xr:uid="{EC4BEB97-7D8C-4853-850C-58D4CCAE95F9}"/>
    <cellStyle name="Porcentaje 6" xfId="310" xr:uid="{DB1DC520-C082-4463-9277-46828F610682}"/>
    <cellStyle name="Porcentaje 7" xfId="311" xr:uid="{3BF1665B-5CBF-4280-867F-F336C64722F1}"/>
    <cellStyle name="Porcentaje 8" xfId="315" xr:uid="{271EAAF6-6FCE-462B-A44E-1939EFAD1D28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ELLIBE~1\AppData\Local\Temp\msohtmlclip1\01\clip_image003.png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ELLIBE~1\AppData\Local\Temp\msohtmlclip1\01\clip_image003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7</xdr:col>
      <xdr:colOff>361950</xdr:colOff>
      <xdr:row>6</xdr:row>
      <xdr:rowOff>28575</xdr:rowOff>
    </xdr:to>
    <xdr:pic>
      <xdr:nvPicPr>
        <xdr:cNvPr id="2" name="Gráfico 83" descr="Huellas de patas">
          <a:extLst>
            <a:ext uri="{FF2B5EF4-FFF2-40B4-BE49-F238E27FC236}">
              <a16:creationId xmlns:a16="http://schemas.microsoft.com/office/drawing/2014/main" id="{36DFB2F5-F4F4-400B-9E65-AF3E3618D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9759950" y="552450"/>
          <a:ext cx="361950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361950</xdr:colOff>
      <xdr:row>12</xdr:row>
      <xdr:rowOff>28575</xdr:rowOff>
    </xdr:to>
    <xdr:pic>
      <xdr:nvPicPr>
        <xdr:cNvPr id="3" name="Gráfico 83" descr="Huellas de patas">
          <a:extLst>
            <a:ext uri="{FF2B5EF4-FFF2-40B4-BE49-F238E27FC236}">
              <a16:creationId xmlns:a16="http://schemas.microsoft.com/office/drawing/2014/main" id="{89D0B5ED-1161-4DE1-8905-1D4DEF5A8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9759950" y="1657350"/>
          <a:ext cx="361950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361950</xdr:colOff>
      <xdr:row>20</xdr:row>
      <xdr:rowOff>28575</xdr:rowOff>
    </xdr:to>
    <xdr:pic>
      <xdr:nvPicPr>
        <xdr:cNvPr id="4" name="Gráfico 83" descr="Huellas de patas">
          <a:extLst>
            <a:ext uri="{FF2B5EF4-FFF2-40B4-BE49-F238E27FC236}">
              <a16:creationId xmlns:a16="http://schemas.microsoft.com/office/drawing/2014/main" id="{CABB46E5-E165-40B5-BDBF-B73D8EA1E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9759950" y="3130550"/>
          <a:ext cx="361950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361950</xdr:colOff>
      <xdr:row>29</xdr:row>
      <xdr:rowOff>28575</xdr:rowOff>
    </xdr:to>
    <xdr:pic>
      <xdr:nvPicPr>
        <xdr:cNvPr id="5" name="Gráfico 83" descr="Huellas de patas">
          <a:extLst>
            <a:ext uri="{FF2B5EF4-FFF2-40B4-BE49-F238E27FC236}">
              <a16:creationId xmlns:a16="http://schemas.microsoft.com/office/drawing/2014/main" id="{C8D32710-B499-4EB7-9F11-AA6E00731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9759950" y="4787900"/>
          <a:ext cx="361950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996950</xdr:colOff>
      <xdr:row>34</xdr:row>
      <xdr:rowOff>6350</xdr:rowOff>
    </xdr:from>
    <xdr:to>
      <xdr:col>3</xdr:col>
      <xdr:colOff>266700</xdr:colOff>
      <xdr:row>37</xdr:row>
      <xdr:rowOff>34925</xdr:rowOff>
    </xdr:to>
    <xdr:pic>
      <xdr:nvPicPr>
        <xdr:cNvPr id="6" name="Gráfico 83" descr="Huellas de patas">
          <a:extLst>
            <a:ext uri="{FF2B5EF4-FFF2-40B4-BE49-F238E27FC236}">
              <a16:creationId xmlns:a16="http://schemas.microsoft.com/office/drawing/2014/main" id="{0943F835-EBB6-484B-B72E-97CE3F107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914900" y="6267450"/>
          <a:ext cx="361950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361950</xdr:colOff>
      <xdr:row>37</xdr:row>
      <xdr:rowOff>28575</xdr:rowOff>
    </xdr:to>
    <xdr:pic>
      <xdr:nvPicPr>
        <xdr:cNvPr id="7" name="Gráfico 83" descr="Huellas de patas">
          <a:extLst>
            <a:ext uri="{FF2B5EF4-FFF2-40B4-BE49-F238E27FC236}">
              <a16:creationId xmlns:a16="http://schemas.microsoft.com/office/drawing/2014/main" id="{7E88634E-EF0D-4451-B5F9-0A9501594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762750" y="6261100"/>
          <a:ext cx="361950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361950</xdr:colOff>
      <xdr:row>37</xdr:row>
      <xdr:rowOff>28575</xdr:rowOff>
    </xdr:to>
    <xdr:pic>
      <xdr:nvPicPr>
        <xdr:cNvPr id="8" name="Gráfico 83" descr="Huellas de patas">
          <a:extLst>
            <a:ext uri="{FF2B5EF4-FFF2-40B4-BE49-F238E27FC236}">
              <a16:creationId xmlns:a16="http://schemas.microsoft.com/office/drawing/2014/main" id="{7E57FB72-8C9D-40DC-B535-7DA664F03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997950" y="6261100"/>
          <a:ext cx="361950" cy="485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266700</xdr:colOff>
      <xdr:row>0</xdr:row>
      <xdr:rowOff>50800</xdr:rowOff>
    </xdr:from>
    <xdr:to>
      <xdr:col>6</xdr:col>
      <xdr:colOff>628650</xdr:colOff>
      <xdr:row>2</xdr:row>
      <xdr:rowOff>168275</xdr:rowOff>
    </xdr:to>
    <xdr:pic>
      <xdr:nvPicPr>
        <xdr:cNvPr id="2" name="Gráfico 83" descr="Huellas de patas">
          <a:extLst>
            <a:ext uri="{FF2B5EF4-FFF2-40B4-BE49-F238E27FC236}">
              <a16:creationId xmlns:a16="http://schemas.microsoft.com/office/drawing/2014/main" id="{1E8715A7-A4E1-4FB8-A8D8-BE60F0E60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7537450" y="50800"/>
          <a:ext cx="361950" cy="485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DER CARTERA" refreshedDate="45922.328503240744" createdVersion="8" refreshedVersion="8" minRefreshableVersion="3" recordCount="510" xr:uid="{7407DEE5-92F1-4732-BA41-D098E5C87EDF}">
  <cacheSource type="worksheet">
    <worksheetSource ref="B1:I511" sheet="PRELIMINAR"/>
  </cacheSource>
  <cacheFields count="8">
    <cacheField name="SOLICITUD" numFmtId="0">
      <sharedItems containsSemiMixedTypes="0" containsString="0" containsNumber="1" containsInteger="1" minValue="486639" maxValue="11678387"/>
    </cacheField>
    <cacheField name="Cartera" numFmtId="0">
      <sharedItems/>
    </cacheField>
    <cacheField name="Asignacion" numFmtId="0">
      <sharedItems count="27">
        <s v="PANQUEVA ARAGON YURI VANESSA"/>
        <s v="PEREZ CIFUENTES GINNA ALEJANDRA"/>
        <s v="MILLAN CEDENO MARIA CAMILA"/>
        <s v="BERMUDEZ CORREA JUAN MANUEL"/>
        <s v="MARTINEZ MARTINEZ YIBETH DANERY"/>
        <s v="RINCON LINARES VALERY BRILLIT"/>
        <s v="NISPERUZA SANCHEZ NATALIA INES"/>
        <s v="DOMINGUEZ CARRASCO NICOL DALLAN"/>
        <s v="NARANJO HERNANDEZ DIANA ROCIO"/>
        <s v="DIAZ BARRETO IRMA ROSA"/>
        <s v="BURGOS PINEDA SANDI MARCELA"/>
        <s v="ACOSTA BLANCO MARIA ALEJANDRA"/>
        <s v="DUARTE MAPE MARIA FERNANDA"/>
        <s v="HERNANDEZ CASTIBLANCO ANGIE LORENA"/>
        <s v="DIAZ MELO CRISTIAN DAVID"/>
        <s v="YEPEZ BETANCOURTH CAROL TATIANA"/>
        <s v="VEGA ACERO YERITSON ADRIAN"/>
        <s v="AVILA BOHORQUEZ JOHAN CAMILO"/>
        <s v="MARTINEZ ESCOBAR DENNIS ALEJANDRA"/>
        <s v="CORTES RONCANCIO JULIANA ANDREA"/>
        <s v="MALDONADO MOYANO SARA NATALIA"/>
        <s v="FERNANDEZ CARMONA CAMILA"/>
        <s v="LEON CAÑON LUIS ARMANDO"/>
        <s v="LINARES LAGOS LUZ ADRIANA"/>
        <s v="GONZALEZ NANCY ALEJANDRA"/>
        <s v="CASTIBLANCO RINCON JULIETH ALEXANDRA"/>
        <s v="CARO BOLAÑO MARELEIMYS JUDITH"/>
      </sharedItems>
    </cacheField>
    <cacheField name="Identificacion" numFmtId="0">
      <sharedItems containsSemiMixedTypes="0" containsString="0" containsNumber="1" containsInteger="1" minValue="6479682" maxValue="1138074284"/>
    </cacheField>
    <cacheField name="Codigo" numFmtId="0">
      <sharedItems containsSemiMixedTypes="0" containsString="0" containsNumber="1" containsInteger="1" minValue="23384" maxValue="27224"/>
    </cacheField>
    <cacheField name="Grupo" numFmtId="0">
      <sharedItems/>
    </cacheField>
    <cacheField name="POLIZA" numFmtId="0">
      <sharedItems containsSemiMixedTypes="0" containsString="0" containsNumber="1" containsInteger="1" minValue="52" maxValue="149733"/>
    </cacheField>
    <cacheField name="Tipo Poliza" numFmtId="164">
      <sharedItems containsString="0" containsBlank="1" containsNumber="1" containsInteger="1" minValue="0" maxValue="556109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0">
  <r>
    <n v="4811723"/>
    <s v="Nuevo Vigente"/>
    <x v="0"/>
    <n v="1019115964"/>
    <n v="23410"/>
    <s v="NGSO"/>
    <n v="97"/>
    <n v="55610946"/>
  </r>
  <r>
    <n v="11504910"/>
    <s v="Nuevo Vigente"/>
    <x v="1"/>
    <n v="1018439309"/>
    <n v="23384"/>
    <s v="NGSO"/>
    <n v="15069"/>
    <n v="47600000"/>
  </r>
  <r>
    <n v="11590578"/>
    <s v="Nuevo Vigente"/>
    <x v="2"/>
    <n v="1000338067"/>
    <n v="24433"/>
    <s v="NGSO"/>
    <n v="11394"/>
    <n v="47600000"/>
  </r>
  <r>
    <n v="5226024"/>
    <s v="Nuevo Vigente"/>
    <x v="3"/>
    <n v="1000727404"/>
    <n v="24436"/>
    <s v="NGSO"/>
    <n v="13078"/>
    <n v="39124834"/>
  </r>
  <r>
    <n v="7544057"/>
    <s v="Nuevo Vigente"/>
    <x v="4"/>
    <n v="1015449218"/>
    <n v="24438"/>
    <s v="NGSO"/>
    <n v="200"/>
    <n v="27307980"/>
  </r>
  <r>
    <n v="7584800"/>
    <s v="Nuevo Vigente"/>
    <x v="5"/>
    <n v="1033685482"/>
    <n v="24441"/>
    <s v="NGSO"/>
    <n v="760"/>
    <n v="26310880"/>
  </r>
  <r>
    <n v="7685996"/>
    <s v="Nuevo Vigente"/>
    <x v="6"/>
    <n v="1138074284"/>
    <n v="27172"/>
    <s v="NGSO"/>
    <n v="10632"/>
    <n v="25511562"/>
  </r>
  <r>
    <n v="6894325"/>
    <s v="Nuevo Vigente"/>
    <x v="7"/>
    <n v="1032677388"/>
    <n v="26623"/>
    <s v="NGSO"/>
    <n v="13002"/>
    <n v="24978404"/>
  </r>
  <r>
    <n v="5853827"/>
    <s v="Nuevo Vigente"/>
    <x v="8"/>
    <n v="52756032"/>
    <n v="26668"/>
    <s v="NGSO"/>
    <n v="14101"/>
    <n v="22282376"/>
  </r>
  <r>
    <n v="7277213"/>
    <s v="Nuevo Vigente"/>
    <x v="9"/>
    <n v="52837437"/>
    <n v="26730"/>
    <s v="NGSO"/>
    <n v="13016"/>
    <n v="18786732"/>
  </r>
  <r>
    <n v="5662966"/>
    <s v="Nuevo Vigente"/>
    <x v="10"/>
    <n v="1002525594"/>
    <n v="26731"/>
    <s v="NGSO"/>
    <n v="13006"/>
    <n v="18770171"/>
  </r>
  <r>
    <n v="10623219"/>
    <s v="Nuevo Vigente"/>
    <x v="11"/>
    <n v="1012434013"/>
    <n v="26735"/>
    <s v="NGSO"/>
    <n v="11121"/>
    <n v="18612896"/>
  </r>
  <r>
    <n v="5209744"/>
    <s v="Nuevo Vigente"/>
    <x v="12"/>
    <n v="1000218098"/>
    <n v="26786"/>
    <s v="NGSO"/>
    <n v="14156"/>
    <n v="18053364"/>
  </r>
  <r>
    <n v="11638449"/>
    <s v="Nuevo Vigente"/>
    <x v="13"/>
    <n v="1001275619"/>
    <n v="27063"/>
    <s v="NGSO"/>
    <n v="10657"/>
    <n v="18000000"/>
  </r>
  <r>
    <n v="6175817"/>
    <s v="Nuevo Vigente"/>
    <x v="14"/>
    <n v="1016106935"/>
    <n v="27064"/>
    <s v="NGSO"/>
    <n v="200"/>
    <n v="17949324"/>
  </r>
  <r>
    <n v="11642391"/>
    <s v="Nuevo Vigente"/>
    <x v="15"/>
    <n v="1024593276"/>
    <n v="27068"/>
    <s v="NGSO"/>
    <n v="14005"/>
    <n v="17850000"/>
  </r>
  <r>
    <n v="11599332"/>
    <s v="Nuevo Vigente"/>
    <x v="16"/>
    <n v="1014284618"/>
    <n v="27083"/>
    <s v="NGSO"/>
    <n v="13111"/>
    <n v="17740520"/>
  </r>
  <r>
    <n v="5758898"/>
    <s v="Nuevo Vigente"/>
    <x v="17"/>
    <n v="1001116838"/>
    <n v="27104"/>
    <s v="NGSO"/>
    <n v="14023"/>
    <n v="17374000"/>
  </r>
  <r>
    <n v="7678493"/>
    <s v="Nuevo Vigente"/>
    <x v="17"/>
    <n v="1001116838"/>
    <n v="27104"/>
    <s v="NGSO"/>
    <n v="13274"/>
    <n v="7843814"/>
  </r>
  <r>
    <n v="5869735"/>
    <s v="Nuevo Vigente"/>
    <x v="16"/>
    <n v="1014284618"/>
    <n v="27083"/>
    <s v="NGSO"/>
    <n v="11218"/>
    <n v="7831862"/>
  </r>
  <r>
    <n v="10548865"/>
    <s v="Nuevo Vigente"/>
    <x v="15"/>
    <n v="1024593276"/>
    <n v="27068"/>
    <s v="NGSO"/>
    <n v="1410"/>
    <n v="7775166"/>
  </r>
  <r>
    <n v="10292100"/>
    <s v="Nuevo Vigente"/>
    <x v="14"/>
    <n v="1016106935"/>
    <n v="27064"/>
    <s v="NGSO"/>
    <n v="10413"/>
    <n v="7757583"/>
  </r>
  <r>
    <n v="5798394"/>
    <s v="Nuevo Vigente"/>
    <x v="13"/>
    <n v="1001275619"/>
    <n v="27063"/>
    <s v="NGSO"/>
    <n v="13150"/>
    <n v="7709200"/>
  </r>
  <r>
    <n v="7393358"/>
    <s v="Nuevo Vigente"/>
    <x v="12"/>
    <n v="1000218098"/>
    <n v="26786"/>
    <s v="NGSO"/>
    <n v="13110"/>
    <n v="7689660"/>
  </r>
  <r>
    <n v="7744323"/>
    <s v="Nuevo Vigente"/>
    <x v="11"/>
    <n v="1012434013"/>
    <n v="26735"/>
    <s v="NGSO"/>
    <n v="13150"/>
    <n v="7619570"/>
  </r>
  <r>
    <n v="11345191"/>
    <s v="Nuevo Vigente"/>
    <x v="10"/>
    <n v="1002525594"/>
    <n v="26731"/>
    <s v="NGSO"/>
    <n v="429"/>
    <n v="7600000"/>
  </r>
  <r>
    <n v="11291894"/>
    <s v="Nuevo Vigente"/>
    <x v="9"/>
    <n v="52837437"/>
    <n v="26730"/>
    <s v="NGSO"/>
    <n v="2124"/>
    <n v="7600000"/>
  </r>
  <r>
    <n v="6799182"/>
    <s v="Nuevo Vigente"/>
    <x v="8"/>
    <n v="52756032"/>
    <n v="26668"/>
    <s v="NGSO"/>
    <n v="446"/>
    <n v="6510878"/>
  </r>
  <r>
    <n v="10379391"/>
    <s v="Nuevo Vigente"/>
    <x v="7"/>
    <n v="1032677388"/>
    <n v="26623"/>
    <s v="NGSO"/>
    <n v="1051"/>
    <n v="6061354"/>
  </r>
  <r>
    <n v="7727373"/>
    <s v="Nuevo Vigente"/>
    <x v="17"/>
    <n v="1001116838"/>
    <n v="27104"/>
    <s v="NGSO"/>
    <n v="13078"/>
    <n v="6054549"/>
  </r>
  <r>
    <n v="11405890"/>
    <s v="Nuevo Vigente"/>
    <x v="16"/>
    <n v="1014284618"/>
    <n v="27083"/>
    <s v="NGSO"/>
    <n v="10814"/>
    <n v="6000000"/>
  </r>
  <r>
    <n v="7833157"/>
    <s v="Nuevo Vigente"/>
    <x v="14"/>
    <n v="1016106935"/>
    <n v="27064"/>
    <s v="NGSO"/>
    <n v="13002"/>
    <n v="6000000"/>
  </r>
  <r>
    <n v="11422061"/>
    <s v="Nuevo Vigente"/>
    <x v="15"/>
    <n v="1024593276"/>
    <n v="27068"/>
    <s v="NGSO"/>
    <n v="13506"/>
    <n v="6000000"/>
  </r>
  <r>
    <n v="11491427"/>
    <s v="Nuevo Vigente"/>
    <x v="6"/>
    <n v="1138074284"/>
    <n v="27172"/>
    <s v="NGSO"/>
    <n v="2272"/>
    <n v="6000000"/>
  </r>
  <r>
    <n v="10259163"/>
    <s v="Nuevo Vigente"/>
    <x v="13"/>
    <n v="1001275619"/>
    <n v="27063"/>
    <s v="NGSO"/>
    <n v="14156"/>
    <n v="6000000"/>
  </r>
  <r>
    <n v="7312483"/>
    <s v="Nuevo Vigente"/>
    <x v="12"/>
    <n v="1000218098"/>
    <n v="26786"/>
    <s v="NGSO"/>
    <n v="13524"/>
    <n v="5957752"/>
  </r>
  <r>
    <n v="7325413"/>
    <s v="Nuevo Vigente"/>
    <x v="11"/>
    <n v="1012434013"/>
    <n v="26735"/>
    <s v="NGSO"/>
    <n v="13524"/>
    <n v="5954218"/>
  </r>
  <r>
    <n v="7530737"/>
    <s v="Nuevo Vigente"/>
    <x v="5"/>
    <n v="1033685482"/>
    <n v="24441"/>
    <s v="NGSO"/>
    <n v="13122"/>
    <n v="5933642"/>
  </r>
  <r>
    <n v="11605351"/>
    <s v="Nuevo Vigente"/>
    <x v="10"/>
    <n v="1002525594"/>
    <n v="26731"/>
    <s v="NGSO"/>
    <n v="12396"/>
    <n v="5900000"/>
  </r>
  <r>
    <n v="7310195"/>
    <s v="Nuevo Vigente"/>
    <x v="9"/>
    <n v="52837437"/>
    <n v="26730"/>
    <s v="NGSO"/>
    <n v="13466"/>
    <n v="5894220"/>
  </r>
  <r>
    <n v="11597018"/>
    <s v="Nuevo Vigente"/>
    <x v="4"/>
    <n v="1015449218"/>
    <n v="24438"/>
    <s v="NGSO"/>
    <n v="13033"/>
    <n v="5600000"/>
  </r>
  <r>
    <n v="7515469"/>
    <s v="Nuevo Vigente"/>
    <x v="8"/>
    <n v="52756032"/>
    <n v="26668"/>
    <s v="NGSO"/>
    <n v="483"/>
    <n v="5331870"/>
  </r>
  <r>
    <n v="11422516"/>
    <s v="Nuevo Vigente"/>
    <x v="7"/>
    <n v="1032677388"/>
    <n v="26623"/>
    <s v="NGSO"/>
    <n v="13122"/>
    <n v="5200000"/>
  </r>
  <r>
    <n v="10631930"/>
    <s v="Nuevo Vigente"/>
    <x v="17"/>
    <n v="1001116838"/>
    <n v="27104"/>
    <s v="NGSO"/>
    <n v="10178"/>
    <n v="5199600"/>
  </r>
  <r>
    <n v="10281136"/>
    <s v="Nuevo Vigente"/>
    <x v="16"/>
    <n v="1014284618"/>
    <n v="27083"/>
    <s v="NGSO"/>
    <n v="13316"/>
    <n v="5191936"/>
  </r>
  <r>
    <n v="10264352"/>
    <s v="Nuevo Vigente"/>
    <x v="6"/>
    <n v="1138074284"/>
    <n v="27172"/>
    <s v="NGSO"/>
    <n v="13000"/>
    <n v="5191936"/>
  </r>
  <r>
    <n v="10704096"/>
    <s v="Nuevo Vigente"/>
    <x v="15"/>
    <n v="1024593276"/>
    <n v="27068"/>
    <s v="NGSO"/>
    <n v="12335"/>
    <n v="5180000"/>
  </r>
  <r>
    <n v="6615511"/>
    <s v="Nuevo Vigente"/>
    <x v="12"/>
    <n v="1000218098"/>
    <n v="26786"/>
    <s v="NGSO"/>
    <n v="13130"/>
    <n v="5145900"/>
  </r>
  <r>
    <n v="6158764"/>
    <s v="Nuevo Vigente"/>
    <x v="14"/>
    <n v="1016106935"/>
    <n v="27064"/>
    <s v="NGSO"/>
    <n v="13056"/>
    <n v="5107462"/>
  </r>
  <r>
    <n v="7019255"/>
    <s v="Nuevo Vigente"/>
    <x v="13"/>
    <n v="1001275619"/>
    <n v="27063"/>
    <s v="NGSO"/>
    <n v="14039"/>
    <n v="5102400"/>
  </r>
  <r>
    <n v="7517713"/>
    <s v="Nuevo Vigente"/>
    <x v="11"/>
    <n v="1012434013"/>
    <n v="26735"/>
    <s v="NGSO"/>
    <n v="13226"/>
    <n v="5086436"/>
  </r>
  <r>
    <n v="11344415"/>
    <s v="Nuevo Vigente"/>
    <x v="5"/>
    <n v="1033685482"/>
    <n v="24441"/>
    <s v="NGSO"/>
    <n v="14078"/>
    <n v="5086000"/>
  </r>
  <r>
    <n v="6266786"/>
    <s v="Nuevo Vigente"/>
    <x v="10"/>
    <n v="1002525594"/>
    <n v="26731"/>
    <s v="NGSO"/>
    <n v="429"/>
    <n v="5082182"/>
  </r>
  <r>
    <n v="10497998"/>
    <s v="Nuevo Vigente"/>
    <x v="9"/>
    <n v="52837437"/>
    <n v="26730"/>
    <s v="NGSO"/>
    <n v="11233"/>
    <n v="5058352"/>
  </r>
  <r>
    <n v="7268508"/>
    <s v="Nuevo Vigente"/>
    <x v="4"/>
    <n v="1015449218"/>
    <n v="24438"/>
    <s v="NGSO"/>
    <n v="10318"/>
    <n v="4973744"/>
  </r>
  <r>
    <n v="10020947"/>
    <s v="Nuevo Vigente"/>
    <x v="8"/>
    <n v="52756032"/>
    <n v="26668"/>
    <s v="NGSO"/>
    <n v="13130"/>
    <n v="4700300"/>
  </r>
  <r>
    <n v="7841279"/>
    <s v="Nuevo Vigente"/>
    <x v="17"/>
    <n v="1001116838"/>
    <n v="27104"/>
    <s v="NGSO"/>
    <n v="13788"/>
    <n v="4600000"/>
  </r>
  <r>
    <n v="11417121"/>
    <s v="Nuevo Vigente"/>
    <x v="7"/>
    <n v="1032677388"/>
    <n v="26623"/>
    <s v="NGSO"/>
    <n v="13721"/>
    <n v="4600000"/>
  </r>
  <r>
    <n v="10334130"/>
    <s v="Nuevo Vigente"/>
    <x v="6"/>
    <n v="1138074284"/>
    <n v="27172"/>
    <s v="NGSO"/>
    <n v="1753"/>
    <n v="4600000"/>
  </r>
  <r>
    <n v="7679673"/>
    <s v="Nuevo Vigente"/>
    <x v="13"/>
    <n v="1001275619"/>
    <n v="27063"/>
    <s v="NGSO"/>
    <n v="13327"/>
    <n v="4598502"/>
  </r>
  <r>
    <n v="10403858"/>
    <s v="Nuevo Vigente"/>
    <x v="14"/>
    <n v="1016106935"/>
    <n v="27064"/>
    <s v="NGSO"/>
    <n v="13078"/>
    <n v="4598502"/>
  </r>
  <r>
    <n v="10446304"/>
    <s v="Nuevo Vigente"/>
    <x v="15"/>
    <n v="1024593276"/>
    <n v="27068"/>
    <s v="NGSO"/>
    <n v="13056"/>
    <n v="4598502"/>
  </r>
  <r>
    <n v="10581565"/>
    <s v="Nuevo Vigente"/>
    <x v="16"/>
    <n v="1014284618"/>
    <n v="27083"/>
    <s v="NGSO"/>
    <n v="633"/>
    <n v="4598502"/>
  </r>
  <r>
    <n v="6282482"/>
    <s v="Nuevo Vigente"/>
    <x v="12"/>
    <n v="1000218098"/>
    <n v="26786"/>
    <s v="NGSO"/>
    <n v="13406"/>
    <n v="4589574"/>
  </r>
  <r>
    <n v="6636568"/>
    <s v="Nuevo Vigente"/>
    <x v="11"/>
    <n v="1012434013"/>
    <n v="26735"/>
    <s v="NGSO"/>
    <n v="1545"/>
    <n v="4582702"/>
  </r>
  <r>
    <n v="7433883"/>
    <s v="Nuevo Vigente"/>
    <x v="5"/>
    <n v="1033685482"/>
    <n v="24441"/>
    <s v="NGSO"/>
    <n v="13233"/>
    <n v="4576000"/>
  </r>
  <r>
    <n v="7280239"/>
    <s v="Nuevo Vigente"/>
    <x v="9"/>
    <n v="52837437"/>
    <n v="26730"/>
    <s v="NGSO"/>
    <n v="13002"/>
    <n v="4567750"/>
  </r>
  <r>
    <n v="7541739"/>
    <s v="Nuevo Vigente"/>
    <x v="10"/>
    <n v="1002525594"/>
    <n v="26731"/>
    <s v="NGSO"/>
    <n v="13016"/>
    <n v="4566026"/>
  </r>
  <r>
    <n v="7548149"/>
    <s v="Nuevo Vigente"/>
    <x v="4"/>
    <n v="1015449218"/>
    <n v="24438"/>
    <s v="NGSO"/>
    <n v="13327"/>
    <n v="4450232"/>
  </r>
  <r>
    <n v="486639"/>
    <s v="Nuevo Vigente"/>
    <x v="8"/>
    <n v="52756032"/>
    <n v="26668"/>
    <s v="NGSO"/>
    <n v="52"/>
    <n v="4245180"/>
  </r>
  <r>
    <n v="10872447"/>
    <s v="Nuevo Vigente"/>
    <x v="3"/>
    <n v="1000727404"/>
    <n v="24436"/>
    <s v="NGSO"/>
    <n v="13122"/>
    <n v="4208000"/>
  </r>
  <r>
    <n v="7112746"/>
    <s v="Nuevo Vigente"/>
    <x v="7"/>
    <n v="1032677388"/>
    <n v="26623"/>
    <s v="NGSO"/>
    <n v="1050"/>
    <n v="4166600"/>
  </r>
  <r>
    <n v="10133454"/>
    <s v="Nuevo Vigente"/>
    <x v="17"/>
    <n v="1001116838"/>
    <n v="27104"/>
    <s v="NGSO"/>
    <n v="14067"/>
    <n v="4161462"/>
  </r>
  <r>
    <n v="6084396"/>
    <s v="Nuevo Vigente"/>
    <x v="6"/>
    <n v="1138074284"/>
    <n v="27172"/>
    <s v="NGSO"/>
    <n v="13364"/>
    <n v="4157944"/>
  </r>
  <r>
    <n v="10752488"/>
    <s v="Nuevo Vigente"/>
    <x v="16"/>
    <n v="1014284618"/>
    <n v="27083"/>
    <s v="NGSO"/>
    <n v="13268"/>
    <n v="4152640"/>
  </r>
  <r>
    <n v="11099245"/>
    <s v="Nuevo Vigente"/>
    <x v="15"/>
    <n v="1024593276"/>
    <n v="27068"/>
    <s v="NGSO"/>
    <n v="12501"/>
    <n v="4150000"/>
  </r>
  <r>
    <n v="6193620"/>
    <s v="Nuevo Vigente"/>
    <x v="13"/>
    <n v="1001275619"/>
    <n v="27063"/>
    <s v="NGSO"/>
    <n v="13150"/>
    <n v="4140200"/>
  </r>
  <r>
    <n v="11237574"/>
    <s v="Nuevo Vigente"/>
    <x v="14"/>
    <n v="1016106935"/>
    <n v="27064"/>
    <s v="NGSO"/>
    <n v="2005"/>
    <n v="4140000"/>
  </r>
  <r>
    <n v="10355500"/>
    <s v="Nuevo Vigente"/>
    <x v="12"/>
    <n v="1000218098"/>
    <n v="26786"/>
    <s v="NGSO"/>
    <n v="13033"/>
    <n v="4138652"/>
  </r>
  <r>
    <n v="11282070"/>
    <s v="Nuevo Vigente"/>
    <x v="11"/>
    <n v="1012434013"/>
    <n v="26735"/>
    <s v="NGSO"/>
    <n v="12166"/>
    <n v="4123268"/>
  </r>
  <r>
    <n v="4875009"/>
    <s v="Nuevo Vigente"/>
    <x v="5"/>
    <n v="1033685482"/>
    <n v="24441"/>
    <s v="NGSO"/>
    <n v="602"/>
    <n v="4122572"/>
  </r>
  <r>
    <n v="6575755"/>
    <s v="Nuevo Vigente"/>
    <x v="9"/>
    <n v="52837437"/>
    <n v="26730"/>
    <s v="NGSO"/>
    <n v="447"/>
    <n v="4121203"/>
  </r>
  <r>
    <n v="7112411"/>
    <s v="Nuevo Vigente"/>
    <x v="10"/>
    <n v="1002525594"/>
    <n v="26731"/>
    <s v="NGSO"/>
    <n v="13090"/>
    <n v="4120626"/>
  </r>
  <r>
    <n v="10006778"/>
    <s v="Nuevo Vigente"/>
    <x v="4"/>
    <n v="1015449218"/>
    <n v="24438"/>
    <s v="NGSO"/>
    <n v="175"/>
    <n v="4103556"/>
  </r>
  <r>
    <n v="11160193"/>
    <s v="Nuevo Vigente"/>
    <x v="8"/>
    <n v="52756032"/>
    <n v="26668"/>
    <s v="NGSO"/>
    <n v="1056"/>
    <n v="3900000"/>
  </r>
  <r>
    <n v="10405761"/>
    <s v="Nuevo Vigente"/>
    <x v="3"/>
    <n v="1000727404"/>
    <n v="24436"/>
    <s v="NGSO"/>
    <n v="1871"/>
    <n v="3887582"/>
  </r>
  <r>
    <n v="7267347"/>
    <s v="Nuevo Vigente"/>
    <x v="7"/>
    <n v="1032677388"/>
    <n v="26623"/>
    <s v="NGSO"/>
    <n v="13556"/>
    <n v="3845918"/>
  </r>
  <r>
    <n v="10356913"/>
    <s v="Nuevo Vigente"/>
    <x v="17"/>
    <n v="1001116838"/>
    <n v="27104"/>
    <s v="NGSO"/>
    <n v="200"/>
    <n v="3836366"/>
  </r>
  <r>
    <n v="6394413"/>
    <s v="Nuevo Vigente"/>
    <x v="6"/>
    <n v="1138074284"/>
    <n v="27172"/>
    <s v="NGSO"/>
    <n v="13078"/>
    <n v="3836346"/>
  </r>
  <r>
    <n v="6493188"/>
    <s v="Nuevo Vigente"/>
    <x v="16"/>
    <n v="1014284618"/>
    <n v="27083"/>
    <s v="NGSO"/>
    <n v="1720"/>
    <n v="3834592"/>
  </r>
  <r>
    <n v="11550725"/>
    <s v="Nuevo Vigente"/>
    <x v="13"/>
    <n v="1001275619"/>
    <n v="27063"/>
    <s v="NGSO"/>
    <n v="483"/>
    <n v="3830000"/>
  </r>
  <r>
    <n v="5972613"/>
    <s v="Nuevo Vigente"/>
    <x v="14"/>
    <n v="1016106935"/>
    <n v="27064"/>
    <s v="NGSO"/>
    <n v="857"/>
    <n v="3829780"/>
  </r>
  <r>
    <n v="10413307"/>
    <s v="Nuevo Vigente"/>
    <x v="15"/>
    <n v="1024593276"/>
    <n v="27068"/>
    <s v="NGSO"/>
    <n v="11352"/>
    <n v="3826952"/>
  </r>
  <r>
    <n v="11593646"/>
    <s v="Nuevo Vigente"/>
    <x v="12"/>
    <n v="1000218098"/>
    <n v="26786"/>
    <s v="NGSO"/>
    <n v="13033"/>
    <n v="3824800"/>
  </r>
  <r>
    <n v="10789466"/>
    <s v="Nuevo Vigente"/>
    <x v="11"/>
    <n v="1012434013"/>
    <n v="26735"/>
    <s v="NGSO"/>
    <n v="322"/>
    <n v="3818400"/>
  </r>
  <r>
    <n v="10240294"/>
    <s v="Nuevo Vigente"/>
    <x v="9"/>
    <n v="52837437"/>
    <n v="26730"/>
    <s v="NGSO"/>
    <n v="13002"/>
    <n v="3804948"/>
  </r>
  <r>
    <n v="11429072"/>
    <s v="Nuevo Vigente"/>
    <x v="10"/>
    <n v="1002525594"/>
    <n v="26731"/>
    <s v="NGSO"/>
    <n v="13443"/>
    <n v="3800000"/>
  </r>
  <r>
    <n v="11591609"/>
    <s v="Nuevo Vigente"/>
    <x v="5"/>
    <n v="1033685482"/>
    <n v="24441"/>
    <s v="NGSO"/>
    <n v="2138"/>
    <n v="3800000"/>
  </r>
  <r>
    <n v="10204023"/>
    <s v="Nuevo Vigente"/>
    <x v="4"/>
    <n v="1015449218"/>
    <n v="24438"/>
    <s v="NGSO"/>
    <n v="10526"/>
    <n v="3726800"/>
  </r>
  <r>
    <n v="10893416"/>
    <s v="Nuevo Vigente"/>
    <x v="8"/>
    <n v="52756032"/>
    <n v="26668"/>
    <s v="NGSO"/>
    <n v="402"/>
    <n v="3613680"/>
  </r>
  <r>
    <n v="10806798"/>
    <s v="Nuevo Vigente"/>
    <x v="3"/>
    <n v="1000727404"/>
    <n v="24436"/>
    <s v="NGSO"/>
    <n v="13577"/>
    <n v="3608000"/>
  </r>
  <r>
    <n v="10176044"/>
    <s v="Nuevo Vigente"/>
    <x v="1"/>
    <n v="1018439309"/>
    <n v="23384"/>
    <s v="NGSO"/>
    <n v="13434"/>
    <n v="3602500"/>
  </r>
  <r>
    <n v="11514836"/>
    <s v="Nuevo Vigente"/>
    <x v="2"/>
    <n v="1000338067"/>
    <n v="24433"/>
    <s v="NGSO"/>
    <n v="13660"/>
    <n v="3600000"/>
  </r>
  <r>
    <n v="7544489"/>
    <s v="Nuevo Vigente"/>
    <x v="7"/>
    <n v="1032677388"/>
    <n v="26623"/>
    <s v="NGSO"/>
    <n v="13445"/>
    <n v="3584384"/>
  </r>
  <r>
    <n v="11121573"/>
    <s v="Nuevo Vigente"/>
    <x v="16"/>
    <n v="1014284618"/>
    <n v="27083"/>
    <s v="NGSO"/>
    <n v="13803"/>
    <n v="3576800"/>
  </r>
  <r>
    <n v="11099122"/>
    <s v="Nuevo Vigente"/>
    <x v="17"/>
    <n v="1001116838"/>
    <n v="27104"/>
    <s v="NGSO"/>
    <n v="13380"/>
    <n v="3576800"/>
  </r>
  <r>
    <n v="11130245"/>
    <s v="Nuevo Vigente"/>
    <x v="6"/>
    <n v="1138074284"/>
    <n v="27172"/>
    <s v="NGSO"/>
    <n v="692"/>
    <n v="3576800"/>
  </r>
  <r>
    <n v="10191036"/>
    <s v="Nuevo Vigente"/>
    <x v="13"/>
    <n v="1001275619"/>
    <n v="27063"/>
    <s v="NGSO"/>
    <n v="678"/>
    <n v="3575570"/>
  </r>
  <r>
    <n v="10226131"/>
    <s v="Nuevo Vigente"/>
    <x v="15"/>
    <n v="1024593276"/>
    <n v="27068"/>
    <s v="NGSO"/>
    <n v="11111"/>
    <n v="3575400"/>
  </r>
  <r>
    <n v="7152375"/>
    <s v="Nuevo Vigente"/>
    <x v="12"/>
    <n v="1000218098"/>
    <n v="26786"/>
    <s v="NGSO"/>
    <n v="665"/>
    <n v="3571208"/>
  </r>
  <r>
    <n v="7256815"/>
    <s v="Nuevo Vigente"/>
    <x v="14"/>
    <n v="1016106935"/>
    <n v="27064"/>
    <s v="NGSO"/>
    <n v="13056"/>
    <n v="3571208"/>
  </r>
  <r>
    <n v="7079800"/>
    <s v="Nuevo Vigente"/>
    <x v="11"/>
    <n v="1012434013"/>
    <n v="26735"/>
    <s v="NGSO"/>
    <n v="13150"/>
    <n v="3571000"/>
  </r>
  <r>
    <n v="11343693"/>
    <s v="Nuevo Vigente"/>
    <x v="5"/>
    <n v="1033685482"/>
    <n v="24441"/>
    <s v="NGSO"/>
    <n v="10003"/>
    <n v="3570000"/>
  </r>
  <r>
    <n v="11359800"/>
    <s v="Nuevo Vigente"/>
    <x v="9"/>
    <n v="52837437"/>
    <n v="26730"/>
    <s v="NGSO"/>
    <n v="11113"/>
    <n v="3570000"/>
  </r>
  <r>
    <n v="10476436"/>
    <s v="Nuevo Vigente"/>
    <x v="10"/>
    <n v="1002525594"/>
    <n v="26731"/>
    <s v="NGSO"/>
    <n v="13010"/>
    <n v="3563840"/>
  </r>
  <r>
    <n v="10767231"/>
    <s v="Nuevo Vigente"/>
    <x v="4"/>
    <n v="1015449218"/>
    <n v="24438"/>
    <s v="NGSO"/>
    <n v="13051"/>
    <n v="3497000"/>
  </r>
  <r>
    <n v="7599815"/>
    <s v="Nuevo Vigente"/>
    <x v="8"/>
    <n v="52756032"/>
    <n v="26668"/>
    <s v="NGSO"/>
    <n v="11114"/>
    <n v="3411400"/>
  </r>
  <r>
    <n v="11578084"/>
    <s v="Nuevo Vigente"/>
    <x v="3"/>
    <n v="1000727404"/>
    <n v="24436"/>
    <s v="NGSO"/>
    <n v="15092"/>
    <n v="3400000"/>
  </r>
  <r>
    <n v="11293962"/>
    <s v="Nuevo Vigente"/>
    <x v="2"/>
    <n v="1000338067"/>
    <n v="24433"/>
    <s v="NGSO"/>
    <n v="14028"/>
    <n v="3393880"/>
  </r>
  <r>
    <n v="7106488"/>
    <s v="Nuevo Vigente"/>
    <x v="1"/>
    <n v="1018439309"/>
    <n v="23384"/>
    <s v="NGSO"/>
    <n v="13010"/>
    <n v="3392370"/>
  </r>
  <r>
    <n v="11030062"/>
    <s v="Nuevo Vigente"/>
    <x v="17"/>
    <n v="1001116838"/>
    <n v="27104"/>
    <s v="NGSO"/>
    <n v="13452"/>
    <n v="3366400"/>
  </r>
  <r>
    <n v="10897981"/>
    <s v="Nuevo Vigente"/>
    <x v="7"/>
    <n v="1032677388"/>
    <n v="26623"/>
    <s v="NGSO"/>
    <n v="483"/>
    <n v="3366400"/>
  </r>
  <r>
    <n v="10141056"/>
    <s v="Nuevo Vigente"/>
    <x v="6"/>
    <n v="1138074284"/>
    <n v="27172"/>
    <s v="NGSO"/>
    <n v="220"/>
    <n v="3366000"/>
  </r>
  <r>
    <n v="11518747"/>
    <s v="Nuevo Vigente"/>
    <x v="16"/>
    <n v="1014284618"/>
    <n v="27083"/>
    <s v="NGSO"/>
    <n v="12267"/>
    <n v="3366000"/>
  </r>
  <r>
    <n v="11383224"/>
    <s v="Nuevo Vigente"/>
    <x v="14"/>
    <n v="1016106935"/>
    <n v="27064"/>
    <s v="NGSO"/>
    <n v="14156"/>
    <n v="3350000"/>
  </r>
  <r>
    <n v="10333507"/>
    <s v="Nuevo Vigente"/>
    <x v="13"/>
    <n v="1001275619"/>
    <n v="27063"/>
    <s v="NGSO"/>
    <n v="13072"/>
    <n v="3333914"/>
  </r>
  <r>
    <n v="10858622"/>
    <s v="Nuevo Vigente"/>
    <x v="15"/>
    <n v="1024593276"/>
    <n v="27068"/>
    <s v="NGSO"/>
    <n v="14078"/>
    <n v="3332906"/>
  </r>
  <r>
    <n v="10329671"/>
    <s v="Nuevo Vigente"/>
    <x v="12"/>
    <n v="1000218098"/>
    <n v="26786"/>
    <s v="NGSO"/>
    <n v="11199"/>
    <n v="3325200"/>
  </r>
  <r>
    <n v="6708841"/>
    <s v="Nuevo Vigente"/>
    <x v="11"/>
    <n v="1012434013"/>
    <n v="26735"/>
    <s v="NGSO"/>
    <n v="13218"/>
    <n v="3320950"/>
  </r>
  <r>
    <n v="6623922"/>
    <s v="Nuevo Vigente"/>
    <x v="5"/>
    <n v="1033685482"/>
    <n v="24441"/>
    <s v="NGSO"/>
    <n v="10413"/>
    <n v="3318104"/>
  </r>
  <r>
    <n v="7660687"/>
    <s v="Nuevo Vigente"/>
    <x v="10"/>
    <n v="1002525594"/>
    <n v="26731"/>
    <s v="NGSO"/>
    <n v="11315"/>
    <n v="3317721"/>
  </r>
  <r>
    <n v="11507211"/>
    <s v="Nuevo Vigente"/>
    <x v="9"/>
    <n v="52837437"/>
    <n v="26730"/>
    <s v="NGSO"/>
    <n v="13463"/>
    <n v="3314300"/>
  </r>
  <r>
    <n v="7135996"/>
    <s v="Nuevo Vigente"/>
    <x v="4"/>
    <n v="1015449218"/>
    <n v="24438"/>
    <s v="NGSO"/>
    <n v="11121"/>
    <n v="3257774"/>
  </r>
  <r>
    <n v="11350612"/>
    <s v="Nuevo Vigente"/>
    <x v="8"/>
    <n v="52756032"/>
    <n v="26668"/>
    <s v="NGSO"/>
    <n v="13660"/>
    <n v="3200000"/>
  </r>
  <r>
    <n v="10265235"/>
    <s v="Nuevo Vigente"/>
    <x v="3"/>
    <n v="1000727404"/>
    <n v="24436"/>
    <s v="NGSO"/>
    <n v="11525"/>
    <n v="3178400"/>
  </r>
  <r>
    <n v="7119618"/>
    <s v="Nuevo Vigente"/>
    <x v="2"/>
    <n v="1000338067"/>
    <n v="24433"/>
    <s v="NGSO"/>
    <n v="13524"/>
    <n v="3167290"/>
  </r>
  <r>
    <n v="6391709"/>
    <s v="Nuevo Vigente"/>
    <x v="1"/>
    <n v="1018439309"/>
    <n v="23384"/>
    <s v="NGSO"/>
    <n v="13078"/>
    <n v="3164418"/>
  </r>
  <r>
    <n v="7779994"/>
    <s v="Nuevo Vigente"/>
    <x v="0"/>
    <n v="1019115964"/>
    <n v="23410"/>
    <s v="NGSO"/>
    <n v="11096"/>
    <n v="3150800"/>
  </r>
  <r>
    <n v="5622808"/>
    <s v="Nuevo Vigente"/>
    <x v="7"/>
    <n v="1032677388"/>
    <n v="26623"/>
    <s v="NGSO"/>
    <n v="10752"/>
    <n v="3137186"/>
  </r>
  <r>
    <n v="7329491"/>
    <s v="Nuevo Vigente"/>
    <x v="17"/>
    <n v="1001116838"/>
    <n v="27104"/>
    <s v="NGSO"/>
    <n v="13299"/>
    <n v="3133556"/>
  </r>
  <r>
    <n v="5099631"/>
    <s v="Nuevo Vigente"/>
    <x v="6"/>
    <n v="1138074284"/>
    <n v="27172"/>
    <s v="NGSO"/>
    <n v="114"/>
    <n v="3132855"/>
  </r>
  <r>
    <n v="10928527"/>
    <s v="Nuevo Vigente"/>
    <x v="15"/>
    <n v="1024593276"/>
    <n v="27068"/>
    <s v="NGSO"/>
    <n v="11071"/>
    <n v="3126000"/>
  </r>
  <r>
    <n v="10735086"/>
    <s v="Nuevo Vigente"/>
    <x v="13"/>
    <n v="1001275619"/>
    <n v="27063"/>
    <s v="NGSO"/>
    <n v="13268"/>
    <n v="3125408"/>
  </r>
  <r>
    <n v="10138678"/>
    <s v="Nuevo Vigente"/>
    <x v="16"/>
    <n v="1014284618"/>
    <n v="27083"/>
    <s v="NGSO"/>
    <n v="13142"/>
    <n v="3121094"/>
  </r>
  <r>
    <n v="10109204"/>
    <s v="Nuevo Vigente"/>
    <x v="11"/>
    <n v="1012434013"/>
    <n v="26735"/>
    <s v="NGSO"/>
    <n v="15023"/>
    <n v="3121094"/>
  </r>
  <r>
    <n v="10089962"/>
    <s v="Nuevo Vigente"/>
    <x v="14"/>
    <n v="1016106935"/>
    <n v="27064"/>
    <s v="NGSO"/>
    <n v="13327"/>
    <n v="3121094"/>
  </r>
  <r>
    <n v="7417230"/>
    <s v="Nuevo Vigente"/>
    <x v="12"/>
    <n v="1000218098"/>
    <n v="26786"/>
    <s v="NGSO"/>
    <n v="13010"/>
    <n v="3121094"/>
  </r>
  <r>
    <n v="10122186"/>
    <s v="Nuevo Vigente"/>
    <x v="5"/>
    <n v="1033685482"/>
    <n v="24441"/>
    <s v="NGSO"/>
    <n v="13150"/>
    <n v="3121000"/>
  </r>
  <r>
    <n v="11563460"/>
    <s v="Nuevo Vigente"/>
    <x v="9"/>
    <n v="52837437"/>
    <n v="26730"/>
    <s v="NGSO"/>
    <n v="13187"/>
    <n v="3120000"/>
  </r>
  <r>
    <n v="11036812"/>
    <s v="Nuevo Vigente"/>
    <x v="10"/>
    <n v="1002525594"/>
    <n v="26731"/>
    <s v="NGSO"/>
    <n v="13010"/>
    <n v="3113920"/>
  </r>
  <r>
    <n v="7542698"/>
    <s v="Nuevo Vigente"/>
    <x v="4"/>
    <n v="1015449218"/>
    <n v="24438"/>
    <s v="NGSO"/>
    <n v="10456"/>
    <n v="3070400"/>
  </r>
  <r>
    <n v="11549707"/>
    <s v="Nuevo Vigente"/>
    <x v="8"/>
    <n v="52756032"/>
    <n v="26668"/>
    <s v="NGSO"/>
    <n v="13466"/>
    <n v="3000000"/>
  </r>
  <r>
    <n v="10179455"/>
    <s v="Nuevo Vigente"/>
    <x v="3"/>
    <n v="1000727404"/>
    <n v="24436"/>
    <s v="NGSO"/>
    <n v="13206"/>
    <n v="2991048"/>
  </r>
  <r>
    <n v="10723175"/>
    <s v="Nuevo Vigente"/>
    <x v="1"/>
    <n v="1018439309"/>
    <n v="23384"/>
    <s v="NGSO"/>
    <n v="13122"/>
    <n v="2989026"/>
  </r>
  <r>
    <n v="10665252"/>
    <s v="Nuevo Vigente"/>
    <x v="2"/>
    <n v="1000338067"/>
    <n v="24433"/>
    <s v="NGSO"/>
    <n v="13566"/>
    <n v="2989000"/>
  </r>
  <r>
    <n v="10224964"/>
    <s v="Nuevo Vigente"/>
    <x v="0"/>
    <n v="1019115964"/>
    <n v="23410"/>
    <s v="NGSO"/>
    <n v="13130"/>
    <n v="2966700"/>
  </r>
  <r>
    <n v="6569170"/>
    <s v="Nuevo Vigente"/>
    <x v="7"/>
    <n v="1032677388"/>
    <n v="26623"/>
    <s v="NGSO"/>
    <n v="11121"/>
    <n v="2955602"/>
  </r>
  <r>
    <n v="7274631"/>
    <s v="Nuevo Vigente"/>
    <x v="17"/>
    <n v="1001116838"/>
    <n v="27104"/>
    <s v="NGSO"/>
    <n v="13401"/>
    <n v="2954432"/>
  </r>
  <r>
    <n v="7666474"/>
    <s v="Nuevo Vigente"/>
    <x v="6"/>
    <n v="1138074284"/>
    <n v="27172"/>
    <s v="NGSO"/>
    <n v="402"/>
    <n v="2951976"/>
  </r>
  <r>
    <n v="10812418"/>
    <s v="Nuevo Vigente"/>
    <x v="16"/>
    <n v="1014284618"/>
    <n v="27083"/>
    <s v="NGSO"/>
    <n v="13150"/>
    <n v="2950600"/>
  </r>
  <r>
    <n v="10731373"/>
    <s v="Nuevo Vigente"/>
    <x v="13"/>
    <n v="1001275619"/>
    <n v="27063"/>
    <s v="NGSO"/>
    <n v="13327"/>
    <n v="2950560"/>
  </r>
  <r>
    <n v="10732734"/>
    <s v="Nuevo Vigente"/>
    <x v="15"/>
    <n v="1024593276"/>
    <n v="27068"/>
    <s v="NGSO"/>
    <n v="937"/>
    <n v="2950560"/>
  </r>
  <r>
    <n v="11237931"/>
    <s v="Nuevo Vigente"/>
    <x v="12"/>
    <n v="1000218098"/>
    <n v="26786"/>
    <s v="NGSO"/>
    <n v="210"/>
    <n v="2950000"/>
  </r>
  <r>
    <n v="7804867"/>
    <s v="Nuevo Vigente"/>
    <x v="14"/>
    <n v="1016106935"/>
    <n v="27064"/>
    <s v="NGSO"/>
    <n v="1182"/>
    <n v="2947000"/>
  </r>
  <r>
    <n v="11101143"/>
    <s v="Nuevo Vigente"/>
    <x v="11"/>
    <n v="1012434013"/>
    <n v="26735"/>
    <s v="NGSO"/>
    <n v="12539"/>
    <n v="2945600"/>
  </r>
  <r>
    <n v="10916310"/>
    <s v="Nuevo Vigente"/>
    <x v="10"/>
    <n v="1002525594"/>
    <n v="26731"/>
    <s v="NGSO"/>
    <n v="13098"/>
    <n v="2945600"/>
  </r>
  <r>
    <n v="10935526"/>
    <s v="Nuevo Vigente"/>
    <x v="5"/>
    <n v="1033685482"/>
    <n v="24441"/>
    <s v="NGSO"/>
    <n v="429"/>
    <n v="2945600"/>
  </r>
  <r>
    <n v="10843764"/>
    <s v="Nuevo Vigente"/>
    <x v="9"/>
    <n v="52837437"/>
    <n v="26730"/>
    <s v="NGSO"/>
    <n v="13432"/>
    <n v="2945600"/>
  </r>
  <r>
    <n v="7722985"/>
    <s v="Desocupado Segundo Semestre 2023 - 2025"/>
    <x v="18"/>
    <n v="1000620841"/>
    <n v="27167"/>
    <s v="NGSO"/>
    <n v="13497"/>
    <n v="2895920"/>
  </r>
  <r>
    <n v="11202210"/>
    <s v="Nuevo Vigente"/>
    <x v="4"/>
    <n v="1015449218"/>
    <n v="24438"/>
    <s v="NGSO"/>
    <n v="13010"/>
    <n v="2872800"/>
  </r>
  <r>
    <n v="11271490"/>
    <s v="Nuevo Vigente"/>
    <x v="8"/>
    <n v="52756032"/>
    <n v="26668"/>
    <s v="NGSO"/>
    <n v="446"/>
    <n v="2848154"/>
  </r>
  <r>
    <n v="11310355"/>
    <s v="Nuevo Vigente"/>
    <x v="3"/>
    <n v="1000727404"/>
    <n v="24436"/>
    <s v="NGSO"/>
    <n v="13505"/>
    <n v="2800000"/>
  </r>
  <r>
    <n v="11526795"/>
    <s v="Nuevo Vigente"/>
    <x v="2"/>
    <n v="1000338067"/>
    <n v="24433"/>
    <s v="NGSO"/>
    <n v="13481"/>
    <n v="2800000"/>
  </r>
  <r>
    <n v="11502291"/>
    <s v="Nuevo Vigente"/>
    <x v="0"/>
    <n v="1019115964"/>
    <n v="23410"/>
    <s v="NGSO"/>
    <n v="13774"/>
    <n v="2800000"/>
  </r>
  <r>
    <n v="7812777"/>
    <s v="Nuevo Vigente"/>
    <x v="1"/>
    <n v="1018439309"/>
    <n v="23384"/>
    <s v="NGSO"/>
    <n v="13072"/>
    <n v="2800000"/>
  </r>
  <r>
    <n v="11578322"/>
    <s v="Nuevo Vigente"/>
    <x v="6"/>
    <n v="1138074284"/>
    <n v="27172"/>
    <s v="NGSO"/>
    <n v="2180"/>
    <n v="2800000"/>
  </r>
  <r>
    <n v="7750702"/>
    <s v="Nuevo Vigente"/>
    <x v="17"/>
    <n v="1001116838"/>
    <n v="27104"/>
    <s v="NGSO"/>
    <n v="418"/>
    <n v="2800000"/>
  </r>
  <r>
    <n v="11204989"/>
    <s v="Nuevo Vigente"/>
    <x v="7"/>
    <n v="1032677388"/>
    <n v="26623"/>
    <s v="NGSO"/>
    <n v="429"/>
    <n v="2800000"/>
  </r>
  <r>
    <n v="11164504"/>
    <s v="Nuevo Vigente"/>
    <x v="16"/>
    <n v="1014284618"/>
    <n v="27083"/>
    <s v="NGSO"/>
    <n v="13452"/>
    <n v="2798400"/>
  </r>
  <r>
    <n v="10137626"/>
    <s v="Nuevo Vigente"/>
    <x v="15"/>
    <n v="1024593276"/>
    <n v="27068"/>
    <s v="NGSO"/>
    <n v="11159"/>
    <n v="2797600"/>
  </r>
  <r>
    <n v="7083079"/>
    <s v="Nuevo Vigente"/>
    <x v="13"/>
    <n v="1001275619"/>
    <n v="27063"/>
    <s v="NGSO"/>
    <n v="13183"/>
    <n v="2791400"/>
  </r>
  <r>
    <n v="10072972"/>
    <s v="Nuevo Vigente"/>
    <x v="12"/>
    <n v="1000218098"/>
    <n v="26786"/>
    <s v="NGSO"/>
    <n v="13566"/>
    <n v="2790200"/>
  </r>
  <r>
    <n v="10957008"/>
    <s v="Nuevo Vigente"/>
    <x v="14"/>
    <n v="1016106935"/>
    <n v="27064"/>
    <s v="NGSO"/>
    <n v="11196"/>
    <n v="2790000"/>
  </r>
  <r>
    <n v="11175160"/>
    <s v="Nuevo Vigente"/>
    <x v="11"/>
    <n v="1012434013"/>
    <n v="26735"/>
    <s v="NGSO"/>
    <n v="2231"/>
    <n v="2780000"/>
  </r>
  <r>
    <n v="10964951"/>
    <s v="Nuevo Vigente"/>
    <x v="10"/>
    <n v="1002525594"/>
    <n v="26731"/>
    <s v="NGSO"/>
    <n v="10987"/>
    <n v="2778694"/>
  </r>
  <r>
    <n v="11414618"/>
    <s v="Nuevo Vigente"/>
    <x v="9"/>
    <n v="52837437"/>
    <n v="26730"/>
    <s v="NGSO"/>
    <n v="1545"/>
    <n v="2760000"/>
  </r>
  <r>
    <n v="10123128"/>
    <s v="Nuevo Vigente"/>
    <x v="5"/>
    <n v="1033685482"/>
    <n v="24441"/>
    <s v="NGSO"/>
    <n v="12267"/>
    <n v="2759102"/>
  </r>
  <r>
    <n v="7098593"/>
    <s v="Nuevo Vigente"/>
    <x v="4"/>
    <n v="1015449218"/>
    <n v="24438"/>
    <s v="NGSO"/>
    <n v="13056"/>
    <n v="2747084"/>
  </r>
  <r>
    <n v="7669079"/>
    <s v="Desocupado Segundo Semestre 2023 - 2025"/>
    <x v="19"/>
    <n v="1000004978"/>
    <n v="27203"/>
    <s v="NGSO"/>
    <n v="11482"/>
    <n v="2708000"/>
  </r>
  <r>
    <n v="7808820"/>
    <s v="Nuevo Vigente"/>
    <x v="8"/>
    <n v="52756032"/>
    <n v="26668"/>
    <s v="NGSO"/>
    <n v="97"/>
    <n v="2680000"/>
  </r>
  <r>
    <n v="6091590"/>
    <s v="Nuevo Vigente"/>
    <x v="3"/>
    <n v="1000727404"/>
    <n v="24436"/>
    <s v="NGSO"/>
    <n v="343"/>
    <n v="2674660"/>
  </r>
  <r>
    <n v="7641269"/>
    <s v="Nuevo Vigente"/>
    <x v="1"/>
    <n v="1018439309"/>
    <n v="23384"/>
    <s v="NGSO"/>
    <n v="11356"/>
    <n v="2662000"/>
  </r>
  <r>
    <n v="10488810"/>
    <s v="Nuevo Vigente"/>
    <x v="2"/>
    <n v="1000338067"/>
    <n v="24433"/>
    <s v="NGSO"/>
    <n v="11199"/>
    <n v="2653400"/>
  </r>
  <r>
    <n v="10789810"/>
    <s v="Nuevo Vigente"/>
    <x v="0"/>
    <n v="1019115964"/>
    <n v="23410"/>
    <s v="NGSO"/>
    <n v="483"/>
    <n v="2622720"/>
  </r>
  <r>
    <n v="7501425"/>
    <s v="Nuevo Vigente"/>
    <x v="7"/>
    <n v="1032677388"/>
    <n v="26623"/>
    <s v="NGSO"/>
    <n v="1925"/>
    <n v="2617376"/>
  </r>
  <r>
    <n v="7748782"/>
    <s v="Desocupado Segundo Semestre 2023 - 2025"/>
    <x v="20"/>
    <n v="1014190282"/>
    <n v="27166"/>
    <s v="NGSO"/>
    <n v="1305"/>
    <n v="2614617"/>
  </r>
  <r>
    <n v="11194061"/>
    <s v="Nuevo Vigente"/>
    <x v="17"/>
    <n v="1001116838"/>
    <n v="27104"/>
    <s v="NGSO"/>
    <n v="10859"/>
    <n v="2612000"/>
  </r>
  <r>
    <n v="7318241"/>
    <s v="Nuevo Vigente"/>
    <x v="6"/>
    <n v="1138074284"/>
    <n v="27172"/>
    <s v="NGSO"/>
    <n v="13226"/>
    <n v="2611296"/>
  </r>
  <r>
    <n v="7353215"/>
    <s v="Nuevo Vigente"/>
    <x v="13"/>
    <n v="1001275619"/>
    <n v="27063"/>
    <s v="NGSO"/>
    <n v="13349"/>
    <n v="2611000"/>
  </r>
  <r>
    <n v="7306106"/>
    <s v="Nuevo Vigente"/>
    <x v="12"/>
    <n v="1000218098"/>
    <n v="26786"/>
    <s v="NGSO"/>
    <n v="13071"/>
    <n v="2611000"/>
  </r>
  <r>
    <n v="7179130"/>
    <s v="Nuevo Vigente"/>
    <x v="14"/>
    <n v="1016106935"/>
    <n v="27064"/>
    <s v="NGSO"/>
    <n v="13327"/>
    <n v="2609730"/>
  </r>
  <r>
    <n v="7134418"/>
    <s v="Nuevo Vigente"/>
    <x v="16"/>
    <n v="1014284618"/>
    <n v="27083"/>
    <s v="NGSO"/>
    <n v="429"/>
    <n v="2609730"/>
  </r>
  <r>
    <n v="7173761"/>
    <s v="Nuevo Vigente"/>
    <x v="15"/>
    <n v="1024593276"/>
    <n v="27068"/>
    <s v="NGSO"/>
    <n v="13111"/>
    <n v="2609200"/>
  </r>
  <r>
    <n v="5901071"/>
    <s v="Nuevo Vigente"/>
    <x v="11"/>
    <n v="1012434013"/>
    <n v="26735"/>
    <s v="NGSO"/>
    <n v="13439"/>
    <n v="2608290"/>
  </r>
  <r>
    <n v="7598127"/>
    <s v="Nuevo Vigente"/>
    <x v="5"/>
    <n v="1033685482"/>
    <n v="24441"/>
    <s v="NGSO"/>
    <n v="11120"/>
    <n v="2607674"/>
  </r>
  <r>
    <n v="6603845"/>
    <s v="Nuevo Vigente"/>
    <x v="9"/>
    <n v="52837437"/>
    <n v="26730"/>
    <s v="NGSO"/>
    <n v="10618"/>
    <n v="2602528"/>
  </r>
  <r>
    <n v="7289359"/>
    <s v="Nuevo Vigente"/>
    <x v="10"/>
    <n v="1002525594"/>
    <n v="26731"/>
    <s v="NGSO"/>
    <n v="2188"/>
    <n v="2602054"/>
  </r>
  <r>
    <n v="11261823"/>
    <s v="Nuevo Vigente"/>
    <x v="4"/>
    <n v="1015449218"/>
    <n v="24438"/>
    <s v="NGSO"/>
    <n v="12328"/>
    <n v="2600000"/>
  </r>
  <r>
    <n v="6461020"/>
    <s v="Nuevo Vigente"/>
    <x v="8"/>
    <n v="52756032"/>
    <n v="26668"/>
    <s v="NGSO"/>
    <n v="14156"/>
    <n v="2557576"/>
  </r>
  <r>
    <n v="11639240"/>
    <s v="Nuevo Vigente"/>
    <x v="3"/>
    <n v="1000727404"/>
    <n v="24436"/>
    <s v="NGSO"/>
    <n v="10178"/>
    <n v="2528000"/>
  </r>
  <r>
    <n v="11148767"/>
    <s v="Nuevo Vigente"/>
    <x v="2"/>
    <n v="1000338067"/>
    <n v="24433"/>
    <s v="NGSO"/>
    <n v="13175"/>
    <n v="2524800"/>
  </r>
  <r>
    <n v="10868471"/>
    <s v="Nuevo Vigente"/>
    <x v="1"/>
    <n v="1018439309"/>
    <n v="23384"/>
    <s v="NGSO"/>
    <n v="13093"/>
    <n v="2524000"/>
  </r>
  <r>
    <n v="7459180"/>
    <s v="Nuevo Vigente"/>
    <x v="0"/>
    <n v="1019115964"/>
    <n v="23410"/>
    <s v="NGSO"/>
    <n v="10859"/>
    <n v="2515718"/>
  </r>
  <r>
    <n v="10684025"/>
    <s v="Nuevo Vigente - Respetado"/>
    <x v="21"/>
    <n v="6479682"/>
    <n v="27164"/>
    <s v="NGSO"/>
    <n v="11147"/>
    <n v="2500000"/>
  </r>
  <r>
    <n v="11465910"/>
    <s v="Nuevo Vigente"/>
    <x v="16"/>
    <n v="1014284618"/>
    <n v="27083"/>
    <s v="NGSO"/>
    <n v="13563"/>
    <n v="2500000"/>
  </r>
  <r>
    <n v="11573270"/>
    <s v="Nuevo Vigente"/>
    <x v="15"/>
    <n v="1024593276"/>
    <n v="27068"/>
    <s v="NGSO"/>
    <n v="13609"/>
    <n v="2500000"/>
  </r>
  <r>
    <n v="7841070"/>
    <s v="Nuevo Vigente"/>
    <x v="17"/>
    <n v="1001116838"/>
    <n v="27104"/>
    <s v="NGSO"/>
    <n v="11444"/>
    <n v="2500000"/>
  </r>
  <r>
    <n v="11614497"/>
    <s v="Nuevo Vigente"/>
    <x v="7"/>
    <n v="1032677388"/>
    <n v="26623"/>
    <s v="NGSO"/>
    <n v="1392"/>
    <n v="2500000"/>
  </r>
  <r>
    <n v="7835312"/>
    <s v="Nuevo Vigente"/>
    <x v="6"/>
    <n v="1138074284"/>
    <n v="27172"/>
    <s v="NGSO"/>
    <n v="13465"/>
    <n v="2500000"/>
  </r>
  <r>
    <n v="11586225"/>
    <s v="Nuevo Vigente"/>
    <x v="13"/>
    <n v="1001275619"/>
    <n v="27063"/>
    <s v="NGSO"/>
    <n v="728"/>
    <n v="2500000"/>
  </r>
  <r>
    <n v="11532652"/>
    <s v="Nuevo Vigente"/>
    <x v="14"/>
    <n v="1016106935"/>
    <n v="27064"/>
    <s v="NGSO"/>
    <n v="2189"/>
    <n v="2500000"/>
  </r>
  <r>
    <n v="11549132"/>
    <s v="Nuevo Vigente"/>
    <x v="12"/>
    <n v="1000218098"/>
    <n v="26786"/>
    <s v="NGSO"/>
    <n v="13010"/>
    <n v="2500000"/>
  </r>
  <r>
    <n v="10711615"/>
    <s v="Nuevo Vigente"/>
    <x v="11"/>
    <n v="1012434013"/>
    <n v="26735"/>
    <s v="NGSO"/>
    <n v="343"/>
    <n v="2499680"/>
  </r>
  <r>
    <n v="11228012"/>
    <s v="Nuevo Vigente"/>
    <x v="9"/>
    <n v="52837437"/>
    <n v="26730"/>
    <s v="NGSO"/>
    <n v="13071"/>
    <n v="2496000"/>
  </r>
  <r>
    <n v="10295681"/>
    <s v="Nuevo Vigente"/>
    <x v="5"/>
    <n v="1033685482"/>
    <n v="24441"/>
    <s v="NGSO"/>
    <n v="483"/>
    <n v="2488640"/>
  </r>
  <r>
    <n v="10033963"/>
    <s v="Nuevo Vigente"/>
    <x v="10"/>
    <n v="1002525594"/>
    <n v="26731"/>
    <s v="NGSO"/>
    <n v="11048"/>
    <n v="2486600"/>
  </r>
  <r>
    <n v="5415913"/>
    <s v="Nuevo Vigente"/>
    <x v="4"/>
    <n v="1015449218"/>
    <n v="24438"/>
    <s v="NGSO"/>
    <n v="10909"/>
    <n v="2460142"/>
  </r>
  <r>
    <n v="11487675"/>
    <s v="Nuevo Vigente"/>
    <x v="3"/>
    <n v="1000727404"/>
    <n v="24436"/>
    <s v="NGSO"/>
    <n v="14147"/>
    <n v="2400000"/>
  </r>
  <r>
    <n v="11585720"/>
    <s v="Nuevo Vigente"/>
    <x v="8"/>
    <n v="52756032"/>
    <n v="26668"/>
    <s v="NGSO"/>
    <n v="446"/>
    <n v="2400000"/>
  </r>
  <r>
    <n v="10135655"/>
    <s v="Nuevo Vigente"/>
    <x v="2"/>
    <n v="1000338067"/>
    <n v="24433"/>
    <s v="NGSO"/>
    <n v="1035"/>
    <n v="2395948"/>
  </r>
  <r>
    <n v="10022243"/>
    <s v="Nuevo Vigente"/>
    <x v="1"/>
    <n v="1018439309"/>
    <n v="23384"/>
    <s v="NGSO"/>
    <n v="13175"/>
    <n v="2395800"/>
  </r>
  <r>
    <n v="10317150"/>
    <s v="Nuevo Vigente"/>
    <x v="0"/>
    <n v="1019115964"/>
    <n v="23410"/>
    <s v="NGSO"/>
    <n v="12267"/>
    <n v="2385872"/>
  </r>
  <r>
    <n v="7693345"/>
    <s v="Nuevo Vigente"/>
    <x v="7"/>
    <n v="1032677388"/>
    <n v="26623"/>
    <s v="NGSO"/>
    <n v="446"/>
    <n v="2368228"/>
  </r>
  <r>
    <n v="11195846"/>
    <s v="Nuevo Vigente"/>
    <x v="17"/>
    <n v="1001116838"/>
    <n v="27104"/>
    <s v="NGSO"/>
    <n v="483"/>
    <n v="2359800"/>
  </r>
  <r>
    <n v="6393417"/>
    <s v="Nuevo Vigente"/>
    <x v="6"/>
    <n v="1138074284"/>
    <n v="27172"/>
    <s v="NGSO"/>
    <n v="13150"/>
    <n v="2357800"/>
  </r>
  <r>
    <n v="11039239"/>
    <s v="Nuevo Vigente"/>
    <x v="13"/>
    <n v="1001275619"/>
    <n v="27063"/>
    <s v="NGSO"/>
    <n v="429"/>
    <n v="2352000"/>
  </r>
  <r>
    <n v="7539587"/>
    <s v="Nuevo Vigente"/>
    <x v="12"/>
    <n v="1000218098"/>
    <n v="26786"/>
    <s v="NGSO"/>
    <n v="52"/>
    <n v="2351116"/>
  </r>
  <r>
    <n v="10003612"/>
    <s v="Nuevo Vigente"/>
    <x v="14"/>
    <n v="1016106935"/>
    <n v="27064"/>
    <s v="NGSO"/>
    <n v="13439"/>
    <n v="2350218"/>
  </r>
  <r>
    <n v="7258123"/>
    <s v="Nuevo Vigente"/>
    <x v="15"/>
    <n v="1024593276"/>
    <n v="27068"/>
    <s v="NGSO"/>
    <n v="10925"/>
    <n v="2350166"/>
  </r>
  <r>
    <n v="10002437"/>
    <s v="Nuevo Vigente"/>
    <x v="16"/>
    <n v="1014284618"/>
    <n v="27083"/>
    <s v="NGSO"/>
    <n v="429"/>
    <n v="2350166"/>
  </r>
  <r>
    <n v="7518742"/>
    <s v="Nuevo Vigente"/>
    <x v="5"/>
    <n v="1033685482"/>
    <n v="24441"/>
    <s v="NGSO"/>
    <n v="11131"/>
    <n v="2334884"/>
  </r>
  <r>
    <n v="7589035"/>
    <s v="Nuevo Vigente"/>
    <x v="9"/>
    <n v="52837437"/>
    <n v="26730"/>
    <s v="NGSO"/>
    <n v="728"/>
    <n v="2331326"/>
  </r>
  <r>
    <n v="7280521"/>
    <s v="Nuevo Vigente"/>
    <x v="11"/>
    <n v="1012434013"/>
    <n v="26735"/>
    <s v="NGSO"/>
    <n v="13130"/>
    <n v="2330900"/>
  </r>
  <r>
    <n v="7500155"/>
    <s v="Nuevo Vigente"/>
    <x v="10"/>
    <n v="1002525594"/>
    <n v="26731"/>
    <s v="NGSO"/>
    <n v="1912"/>
    <n v="2325214"/>
  </r>
  <r>
    <n v="10925952"/>
    <s v="Nuevo Vigente"/>
    <x v="4"/>
    <n v="1015449218"/>
    <n v="24438"/>
    <s v="NGSO"/>
    <n v="13497"/>
    <n v="2314400"/>
  </r>
  <r>
    <n v="10279833"/>
    <s v="Nuevo Vigente"/>
    <x v="8"/>
    <n v="52756032"/>
    <n v="26668"/>
    <s v="NGSO"/>
    <n v="14023"/>
    <n v="2280000"/>
  </r>
  <r>
    <n v="10499616"/>
    <s v="Nuevo Vigente"/>
    <x v="3"/>
    <n v="1000727404"/>
    <n v="24436"/>
    <s v="NGSO"/>
    <n v="10339"/>
    <n v="2253266"/>
  </r>
  <r>
    <n v="10757159"/>
    <s v="Nuevo Vigente - Respetado"/>
    <x v="18"/>
    <n v="1000620841"/>
    <n v="27167"/>
    <s v="NGSO"/>
    <n v="728"/>
    <n v="2250000"/>
  </r>
  <r>
    <n v="10049363"/>
    <s v="Nuevo Vigente"/>
    <x v="2"/>
    <n v="1000338067"/>
    <n v="24433"/>
    <s v="NGSO"/>
    <n v="11222"/>
    <n v="2246600"/>
  </r>
  <r>
    <n v="10700891"/>
    <s v="Nuevo Vigente"/>
    <x v="1"/>
    <n v="1018439309"/>
    <n v="23384"/>
    <s v="NGSO"/>
    <n v="13556"/>
    <n v="2242426"/>
  </r>
  <r>
    <n v="7189716"/>
    <s v="Nuevo Vigente"/>
    <x v="0"/>
    <n v="1019115964"/>
    <n v="23410"/>
    <s v="NGSO"/>
    <n v="655"/>
    <n v="2223604"/>
  </r>
  <r>
    <n v="11502504"/>
    <s v="Nuevo Vigente"/>
    <x v="6"/>
    <n v="1138074284"/>
    <n v="27172"/>
    <s v="NGSO"/>
    <n v="13757"/>
    <n v="2210776"/>
  </r>
  <r>
    <n v="10147389"/>
    <s v="Nuevo Vigente"/>
    <x v="17"/>
    <n v="1001116838"/>
    <n v="27104"/>
    <s v="NGSO"/>
    <n v="483"/>
    <n v="2210776"/>
  </r>
  <r>
    <n v="10122792"/>
    <s v="Nuevo Vigente"/>
    <x v="7"/>
    <n v="1032677388"/>
    <n v="26623"/>
    <s v="NGSO"/>
    <n v="10632"/>
    <n v="2210776"/>
  </r>
  <r>
    <n v="10246375"/>
    <s v="Nuevo Vigente"/>
    <x v="12"/>
    <n v="1000218098"/>
    <n v="26786"/>
    <s v="NGSO"/>
    <n v="13573"/>
    <n v="2210774"/>
  </r>
  <r>
    <n v="10211821"/>
    <s v="Nuevo Vigente"/>
    <x v="13"/>
    <n v="1001275619"/>
    <n v="27063"/>
    <s v="NGSO"/>
    <n v="13175"/>
    <n v="2210600"/>
  </r>
  <r>
    <n v="7667279"/>
    <s v="Nuevo Vigente"/>
    <x v="14"/>
    <n v="1016106935"/>
    <n v="27064"/>
    <s v="NGSO"/>
    <n v="11219"/>
    <n v="2210000"/>
  </r>
  <r>
    <n v="10873708"/>
    <s v="Nuevo Vigente"/>
    <x v="15"/>
    <n v="1024593276"/>
    <n v="27068"/>
    <s v="NGSO"/>
    <n v="483"/>
    <n v="2209200"/>
  </r>
  <r>
    <n v="10845858"/>
    <s v="Nuevo Vigente"/>
    <x v="16"/>
    <n v="1014284618"/>
    <n v="27083"/>
    <s v="NGSO"/>
    <n v="14067"/>
    <n v="2209200"/>
  </r>
  <r>
    <n v="11201153"/>
    <s v="Nuevo Vigente"/>
    <x v="8"/>
    <n v="52756032"/>
    <n v="26668"/>
    <s v="NGSO"/>
    <n v="483"/>
    <n v="2200000"/>
  </r>
  <r>
    <n v="10343335"/>
    <s v="Nuevo Vigente"/>
    <x v="10"/>
    <n v="1002525594"/>
    <n v="26731"/>
    <s v="NGSO"/>
    <n v="12607"/>
    <n v="2185640"/>
  </r>
  <r>
    <n v="10300180"/>
    <s v="Nuevo Vigente"/>
    <x v="9"/>
    <n v="52837437"/>
    <n v="26730"/>
    <s v="NGSO"/>
    <n v="13653"/>
    <n v="2185600"/>
  </r>
  <r>
    <n v="10139744"/>
    <s v="Nuevo Vigente"/>
    <x v="5"/>
    <n v="1033685482"/>
    <n v="24441"/>
    <s v="NGSO"/>
    <n v="11131"/>
    <n v="2184766"/>
  </r>
  <r>
    <n v="7651509"/>
    <s v="Nuevo Vigente"/>
    <x v="11"/>
    <n v="1012434013"/>
    <n v="26735"/>
    <s v="NGSO"/>
    <n v="135"/>
    <n v="2181101"/>
  </r>
  <r>
    <n v="10114556"/>
    <s v="Nuevo Vigente"/>
    <x v="4"/>
    <n v="1015449218"/>
    <n v="24438"/>
    <s v="NGSO"/>
    <n v="14010"/>
    <n v="2150460"/>
  </r>
  <r>
    <n v="6906541"/>
    <s v="Nuevo Vigente"/>
    <x v="3"/>
    <n v="1000727404"/>
    <n v="24436"/>
    <s v="NGSO"/>
    <n v="11121"/>
    <n v="2139812"/>
  </r>
  <r>
    <n v="6432795"/>
    <s v="Nuevo Vigente"/>
    <x v="2"/>
    <n v="1000338067"/>
    <n v="24433"/>
    <s v="NGSO"/>
    <n v="13092"/>
    <n v="2131310"/>
  </r>
  <r>
    <n v="10430775"/>
    <s v="Nuevo Vigente"/>
    <x v="1"/>
    <n v="1018439309"/>
    <n v="23384"/>
    <s v="NGSO"/>
    <n v="13380"/>
    <n v="2130304"/>
  </r>
  <r>
    <n v="6588122"/>
    <s v="Nuevo Vigente"/>
    <x v="0"/>
    <n v="1019115964"/>
    <n v="23410"/>
    <s v="NGSO"/>
    <n v="13439"/>
    <n v="2119357"/>
  </r>
  <r>
    <n v="10427530"/>
    <s v="Nuevo Vigente"/>
    <x v="7"/>
    <n v="1032677388"/>
    <n v="26623"/>
    <s v="NGSO"/>
    <n v="11003"/>
    <n v="2107400"/>
  </r>
  <r>
    <n v="11138355"/>
    <s v="Nuevo Vigente"/>
    <x v="6"/>
    <n v="1138074284"/>
    <n v="27172"/>
    <s v="NGSO"/>
    <n v="13651"/>
    <n v="2104000"/>
  </r>
  <r>
    <n v="11073009"/>
    <s v="Nuevo Vigente"/>
    <x v="17"/>
    <n v="1001116838"/>
    <n v="27104"/>
    <s v="NGSO"/>
    <n v="13677"/>
    <n v="2104000"/>
  </r>
  <r>
    <n v="7758975"/>
    <s v="Nuevo Vigente"/>
    <x v="13"/>
    <n v="1001275619"/>
    <n v="27063"/>
    <s v="NGSO"/>
    <n v="1479"/>
    <n v="2104000"/>
  </r>
  <r>
    <n v="11107956"/>
    <s v="Nuevo Vigente"/>
    <x v="15"/>
    <n v="1024593276"/>
    <n v="27068"/>
    <s v="NGSO"/>
    <n v="665"/>
    <n v="2104000"/>
  </r>
  <r>
    <n v="11009290"/>
    <s v="Nuevo Vigente"/>
    <x v="16"/>
    <n v="1014284618"/>
    <n v="27083"/>
    <s v="NGSO"/>
    <n v="1933"/>
    <n v="2104000"/>
  </r>
  <r>
    <n v="11125584"/>
    <s v="Nuevo Vigente"/>
    <x v="14"/>
    <n v="1016106935"/>
    <n v="27064"/>
    <s v="NGSO"/>
    <n v="483"/>
    <n v="2104000"/>
  </r>
  <r>
    <n v="7820577"/>
    <s v="Nuevo Vigente"/>
    <x v="12"/>
    <n v="1000218098"/>
    <n v="26786"/>
    <s v="NGSO"/>
    <n v="655"/>
    <n v="2104000"/>
  </r>
  <r>
    <n v="10826574"/>
    <s v="Nuevo Vigente"/>
    <x v="4"/>
    <n v="1015449218"/>
    <n v="24438"/>
    <s v="NGSO"/>
    <n v="956"/>
    <n v="2089272"/>
  </r>
  <r>
    <n v="7245737"/>
    <s v="Desocupado Segundo Semestre 2023 - 2025"/>
    <x v="22"/>
    <n v="1001216235"/>
    <n v="25962"/>
    <s v="NGSO"/>
    <n v="13147"/>
    <n v="2089034"/>
  </r>
  <r>
    <n v="10879157"/>
    <s v="Nuevo Vigente"/>
    <x v="11"/>
    <n v="1012434013"/>
    <n v="26735"/>
    <s v="NGSO"/>
    <n v="12080"/>
    <n v="2079016"/>
  </r>
  <r>
    <n v="6118822"/>
    <s v="Nuevo Vigente"/>
    <x v="10"/>
    <n v="1002525594"/>
    <n v="26731"/>
    <s v="NGSO"/>
    <n v="11531"/>
    <n v="2076900"/>
  </r>
  <r>
    <n v="7180937"/>
    <s v="Nuevo Vigente"/>
    <x v="9"/>
    <n v="52837437"/>
    <n v="26730"/>
    <s v="NGSO"/>
    <n v="12621"/>
    <n v="2071417"/>
  </r>
  <r>
    <n v="7679961"/>
    <s v="Nuevo Vigente"/>
    <x v="5"/>
    <n v="1033685482"/>
    <n v="24441"/>
    <s v="NGSO"/>
    <n v="13142"/>
    <n v="2069326"/>
  </r>
  <r>
    <n v="10053999"/>
    <s v="Nuevo Vigente"/>
    <x v="8"/>
    <n v="52756032"/>
    <n v="26668"/>
    <s v="NGSO"/>
    <n v="1050"/>
    <n v="2054300"/>
  </r>
  <r>
    <n v="7076116"/>
    <s v="Nuevo Vigente - Respetado"/>
    <x v="20"/>
    <n v="1014190282"/>
    <n v="27166"/>
    <s v="NGSO"/>
    <n v="14156"/>
    <n v="2000000"/>
  </r>
  <r>
    <n v="11621463"/>
    <s v="Nuevo Vigente"/>
    <x v="3"/>
    <n v="1000727404"/>
    <n v="24436"/>
    <s v="NGSO"/>
    <n v="902"/>
    <n v="2000000"/>
  </r>
  <r>
    <n v="11075401"/>
    <s v="Nuevo Vigente - Respetado"/>
    <x v="22"/>
    <n v="1001216235"/>
    <n v="25962"/>
    <s v="NGSO"/>
    <n v="483"/>
    <n v="2000000"/>
  </r>
  <r>
    <n v="10846884"/>
    <s v="Nuevo Vigente - Respetado"/>
    <x v="23"/>
    <n v="1033684323"/>
    <n v="24744"/>
    <s v="NGSO"/>
    <n v="483"/>
    <n v="2000000"/>
  </r>
  <r>
    <n v="7450496"/>
    <s v="Nuevo Vigente - Respetado"/>
    <x v="18"/>
    <n v="1000620841"/>
    <n v="27167"/>
    <s v="NGSO"/>
    <n v="13078"/>
    <n v="2000000"/>
  </r>
  <r>
    <n v="5510427"/>
    <s v="Nuevo Vigente"/>
    <x v="2"/>
    <n v="1000338067"/>
    <n v="24433"/>
    <s v="NGSO"/>
    <n v="10178"/>
    <n v="1998852"/>
  </r>
  <r>
    <n v="10945622"/>
    <s v="Nuevo Vigente"/>
    <x v="1"/>
    <n v="1018439309"/>
    <n v="23384"/>
    <s v="NGSO"/>
    <n v="483"/>
    <n v="1998800"/>
  </r>
  <r>
    <n v="11635893"/>
    <s v="Nuevo Vigente"/>
    <x v="0"/>
    <n v="1019115964"/>
    <n v="23410"/>
    <s v="NGSO"/>
    <n v="1930"/>
    <n v="1960000"/>
  </r>
  <r>
    <n v="7703521"/>
    <s v="Nuevo Vigente"/>
    <x v="7"/>
    <n v="1032677388"/>
    <n v="26623"/>
    <s v="NGSO"/>
    <n v="13175"/>
    <n v="1954400"/>
  </r>
  <r>
    <n v="7564347"/>
    <s v="Nuevo Vigente"/>
    <x v="17"/>
    <n v="1001116838"/>
    <n v="27104"/>
    <s v="NGSO"/>
    <n v="11193"/>
    <n v="1954066"/>
  </r>
  <r>
    <n v="10329303"/>
    <s v="Nuevo Vigente"/>
    <x v="12"/>
    <n v="1000218098"/>
    <n v="26786"/>
    <s v="NGSO"/>
    <n v="677"/>
    <n v="1954000"/>
  </r>
  <r>
    <n v="10371646"/>
    <s v="Nuevo Vigente"/>
    <x v="6"/>
    <n v="1138074284"/>
    <n v="27172"/>
    <s v="NGSO"/>
    <n v="11071"/>
    <n v="1954000"/>
  </r>
  <r>
    <n v="6898281"/>
    <s v="Nuevo Vigente"/>
    <x v="13"/>
    <n v="1001275619"/>
    <n v="27063"/>
    <s v="NGSO"/>
    <n v="483"/>
    <n v="1953918"/>
  </r>
  <r>
    <n v="6768628"/>
    <s v="Nuevo Vigente"/>
    <x v="15"/>
    <n v="1024593276"/>
    <n v="27068"/>
    <s v="NGSO"/>
    <n v="13078"/>
    <n v="1953790"/>
  </r>
  <r>
    <n v="10196311"/>
    <s v="Nuevo Vigente"/>
    <x v="14"/>
    <n v="1016106935"/>
    <n v="27064"/>
    <s v="NGSO"/>
    <n v="2209"/>
    <n v="1948700"/>
  </r>
  <r>
    <n v="5153502"/>
    <s v="Nuevo Vigente"/>
    <x v="16"/>
    <n v="1014284618"/>
    <n v="27083"/>
    <s v="NGSO"/>
    <n v="11517"/>
    <n v="1943558"/>
  </r>
  <r>
    <n v="10497834"/>
    <s v="Nuevo Vigente"/>
    <x v="3"/>
    <n v="1000727404"/>
    <n v="24436"/>
    <s v="NGSO"/>
    <n v="11003"/>
    <n v="1915000"/>
  </r>
  <r>
    <n v="11497681"/>
    <s v="Nuevo Vigente"/>
    <x v="8"/>
    <n v="52756032"/>
    <n v="26668"/>
    <s v="NGSO"/>
    <n v="2211"/>
    <n v="1900000"/>
  </r>
  <r>
    <n v="11096453"/>
    <s v="Nuevo Vigente"/>
    <x v="4"/>
    <n v="1015449218"/>
    <n v="24438"/>
    <s v="NGSO"/>
    <n v="483"/>
    <n v="1893600"/>
  </r>
  <r>
    <n v="11351470"/>
    <s v="Nuevo Vigente"/>
    <x v="5"/>
    <n v="1033685482"/>
    <n v="24441"/>
    <s v="NGSO"/>
    <n v="11403"/>
    <n v="1870000"/>
  </r>
  <r>
    <n v="10730707"/>
    <s v="Nuevo Vigente"/>
    <x v="9"/>
    <n v="52837437"/>
    <n v="26730"/>
    <s v="NGSO"/>
    <n v="690"/>
    <n v="1860000"/>
  </r>
  <r>
    <n v="7108549"/>
    <s v="Nuevo Vigente"/>
    <x v="11"/>
    <n v="1012434013"/>
    <n v="26735"/>
    <s v="NGSO"/>
    <n v="11159"/>
    <n v="1857600"/>
  </r>
  <r>
    <n v="7300967"/>
    <s v="Nuevo Vigente"/>
    <x v="10"/>
    <n v="1002525594"/>
    <n v="26731"/>
    <s v="NGSO"/>
    <n v="13566"/>
    <n v="1854000"/>
  </r>
  <r>
    <n v="10882532"/>
    <s v="Nuevo Vigente"/>
    <x v="2"/>
    <n v="1000338067"/>
    <n v="24433"/>
    <s v="NGSO"/>
    <n v="13439"/>
    <n v="1841000"/>
  </r>
  <r>
    <n v="11606622"/>
    <s v="Nuevo Vigente"/>
    <x v="1"/>
    <n v="1018439309"/>
    <n v="23384"/>
    <s v="NGSO"/>
    <n v="12010"/>
    <n v="1840000"/>
  </r>
  <r>
    <n v="10948254"/>
    <s v="Nuevo Vigente"/>
    <x v="0"/>
    <n v="1019115964"/>
    <n v="23410"/>
    <s v="NGSO"/>
    <n v="13093"/>
    <n v="1830000"/>
  </r>
  <r>
    <n v="10076281"/>
    <s v="Nuevo Vigente"/>
    <x v="7"/>
    <n v="1032677388"/>
    <n v="26623"/>
    <s v="NGSO"/>
    <n v="13175"/>
    <n v="1820400"/>
  </r>
  <r>
    <n v="7376142"/>
    <s v="Nuevo Vigente"/>
    <x v="17"/>
    <n v="1001116838"/>
    <n v="27104"/>
    <s v="NGSO"/>
    <n v="11354"/>
    <n v="1810000"/>
  </r>
  <r>
    <n v="5278792"/>
    <s v="Nuevo Vigente"/>
    <x v="6"/>
    <n v="1138074284"/>
    <n v="27172"/>
    <s v="NGSO"/>
    <n v="11363"/>
    <n v="1804000"/>
  </r>
  <r>
    <n v="11230771"/>
    <s v="Nuevo Vigente"/>
    <x v="11"/>
    <n v="1012434013"/>
    <n v="26735"/>
    <s v="NGSO"/>
    <n v="429"/>
    <n v="1800000"/>
  </r>
  <r>
    <n v="11465598"/>
    <s v="Nuevo Vigente"/>
    <x v="12"/>
    <n v="1000218098"/>
    <n v="26786"/>
    <s v="NGSO"/>
    <n v="10618"/>
    <n v="1800000"/>
  </r>
  <r>
    <n v="7802842"/>
    <s v="Nuevo Vigente"/>
    <x v="9"/>
    <n v="52837437"/>
    <n v="26730"/>
    <s v="NGSO"/>
    <n v="13592"/>
    <n v="1800000"/>
  </r>
  <r>
    <n v="11533965"/>
    <s v="Nuevo Vigente"/>
    <x v="15"/>
    <n v="1024593276"/>
    <n v="27068"/>
    <s v="NGSO"/>
    <n v="13621"/>
    <n v="1800000"/>
  </r>
  <r>
    <n v="5979898"/>
    <s v="Nuevo Vigente"/>
    <x v="16"/>
    <n v="1014284618"/>
    <n v="27083"/>
    <s v="NGSO"/>
    <n v="13110"/>
    <n v="1800000"/>
  </r>
  <r>
    <n v="11286958"/>
    <s v="Nuevo Vigente"/>
    <x v="14"/>
    <n v="1016106935"/>
    <n v="27064"/>
    <s v="NGSO"/>
    <n v="1933"/>
    <n v="1800000"/>
  </r>
  <r>
    <n v="11518944"/>
    <s v="Nuevo Vigente"/>
    <x v="10"/>
    <n v="1002525594"/>
    <n v="26731"/>
    <s v="NGSO"/>
    <n v="13746"/>
    <n v="1800000"/>
  </r>
  <r>
    <n v="11256650"/>
    <s v="Nuevo Vigente"/>
    <x v="13"/>
    <n v="1001275619"/>
    <n v="27063"/>
    <s v="NGSO"/>
    <n v="14169"/>
    <n v="1800000"/>
  </r>
  <r>
    <n v="11146794"/>
    <s v="Nuevo Vigente"/>
    <x v="5"/>
    <n v="1033685482"/>
    <n v="24441"/>
    <s v="NGSO"/>
    <n v="13473"/>
    <n v="1788400"/>
  </r>
  <r>
    <n v="10227471"/>
    <s v="Nuevo Vigente - Respetado"/>
    <x v="21"/>
    <n v="6479682"/>
    <n v="27164"/>
    <s v="NGSO"/>
    <n v="730"/>
    <n v="1777420"/>
  </r>
  <r>
    <n v="11491144"/>
    <s v="Desocupado Segundo Semestre 2023 - 2025"/>
    <x v="24"/>
    <n v="52879254"/>
    <n v="27224"/>
    <s v="NGSO"/>
    <n v="10618"/>
    <n v="1776666"/>
  </r>
  <r>
    <n v="11521129"/>
    <s v="Nuevo Vigente"/>
    <x v="3"/>
    <n v="1000727404"/>
    <n v="24436"/>
    <s v="NGSO"/>
    <n v="13417"/>
    <n v="1760000"/>
  </r>
  <r>
    <n v="10879287"/>
    <s v="Nuevo Vigente"/>
    <x v="4"/>
    <n v="1015449218"/>
    <n v="24438"/>
    <s v="NGSO"/>
    <n v="483"/>
    <n v="1725280"/>
  </r>
  <r>
    <n v="10483215"/>
    <s v="Nuevo Vigente"/>
    <x v="8"/>
    <n v="52756032"/>
    <n v="26668"/>
    <s v="NGSO"/>
    <n v="13452"/>
    <n v="1724400"/>
  </r>
  <r>
    <n v="11324467"/>
    <s v="Nuevo Vigente"/>
    <x v="0"/>
    <n v="1019115964"/>
    <n v="23410"/>
    <s v="NGSO"/>
    <n v="1122"/>
    <n v="1700000"/>
  </r>
  <r>
    <n v="11305234"/>
    <s v="Nuevo Vigente"/>
    <x v="1"/>
    <n v="1018439309"/>
    <n v="23384"/>
    <s v="NGSO"/>
    <n v="13090"/>
    <n v="1700000"/>
  </r>
  <r>
    <n v="11336643"/>
    <s v="Nuevo Vigente"/>
    <x v="2"/>
    <n v="1000338067"/>
    <n v="24433"/>
    <s v="NGSO"/>
    <n v="12556"/>
    <n v="1700000"/>
  </r>
  <r>
    <n v="11452168"/>
    <s v="Desocupado Segundo Semestre 2023 - 2025"/>
    <x v="24"/>
    <n v="52879254"/>
    <n v="27224"/>
    <s v="NGSO"/>
    <n v="13183"/>
    <n v="1698667"/>
  </r>
  <r>
    <n v="7578932"/>
    <s v="Nuevo Vigente"/>
    <x v="7"/>
    <n v="1032677388"/>
    <n v="26623"/>
    <s v="NGSO"/>
    <n v="13110"/>
    <n v="1694000"/>
  </r>
  <r>
    <n v="10135054"/>
    <s v="Nuevo Vigente"/>
    <x v="17"/>
    <n v="1001116838"/>
    <n v="27104"/>
    <s v="NGSO"/>
    <n v="13226"/>
    <n v="1690593"/>
  </r>
  <r>
    <n v="10228487"/>
    <s v="Nuevo Vigente"/>
    <x v="6"/>
    <n v="1138074284"/>
    <n v="27172"/>
    <s v="NGSO"/>
    <n v="13452"/>
    <n v="1689900"/>
  </r>
  <r>
    <n v="7255930"/>
    <s v="Nuevo Vigente"/>
    <x v="16"/>
    <n v="1014284618"/>
    <n v="27083"/>
    <s v="NGSO"/>
    <n v="11360"/>
    <n v="1687975"/>
  </r>
  <r>
    <n v="10596459"/>
    <s v="Nuevo Vigente"/>
    <x v="14"/>
    <n v="1016106935"/>
    <n v="27064"/>
    <s v="NGSO"/>
    <n v="10307"/>
    <n v="1684000"/>
  </r>
  <r>
    <n v="7600305"/>
    <s v="Nuevo Vigente"/>
    <x v="13"/>
    <n v="1001275619"/>
    <n v="27063"/>
    <s v="NGSO"/>
    <n v="11003"/>
    <n v="1683200"/>
  </r>
  <r>
    <n v="5998588"/>
    <s v="Nuevo Vigente"/>
    <x v="15"/>
    <n v="1024593276"/>
    <n v="27068"/>
    <s v="NGSO"/>
    <n v="13078"/>
    <n v="1683200"/>
  </r>
  <r>
    <n v="11106593"/>
    <s v="Nuevo Vigente"/>
    <x v="12"/>
    <n v="1000218098"/>
    <n v="26786"/>
    <s v="NGSO"/>
    <n v="13183"/>
    <n v="1683200"/>
  </r>
  <r>
    <n v="7689171"/>
    <s v="Nuevo Vigente"/>
    <x v="8"/>
    <n v="52756032"/>
    <n v="26668"/>
    <s v="NGSO"/>
    <n v="12498"/>
    <n v="1675510"/>
  </r>
  <r>
    <n v="11167144"/>
    <s v="Nuevo Vigente"/>
    <x v="4"/>
    <n v="1015449218"/>
    <n v="24438"/>
    <s v="NGSO"/>
    <n v="343"/>
    <n v="1672800"/>
  </r>
  <r>
    <n v="11034507"/>
    <s v="Nuevo Vigente - Respetado"/>
    <x v="25"/>
    <n v="1000250399"/>
    <n v="27143"/>
    <s v="NGSO"/>
    <n v="483"/>
    <n v="1656000"/>
  </r>
  <r>
    <n v="6586902"/>
    <s v="Desocupado Segundo Semestre 2023 - 2025"/>
    <x v="26"/>
    <n v="1002208098"/>
    <n v="24462"/>
    <s v="NGSO"/>
    <n v="13150"/>
    <n v="1622507"/>
  </r>
  <r>
    <n v="10283232"/>
    <s v="Nuevo Vigente"/>
    <x v="3"/>
    <n v="1000727404"/>
    <n v="24436"/>
    <s v="NGSO"/>
    <n v="10044"/>
    <n v="1607000"/>
  </r>
  <r>
    <n v="11325749"/>
    <s v="Nuevo Vigente"/>
    <x v="5"/>
    <n v="1033685482"/>
    <n v="24441"/>
    <s v="NGSO"/>
    <n v="12487"/>
    <n v="1600000"/>
  </r>
  <r>
    <n v="10699076"/>
    <s v="Nuevo Vigente"/>
    <x v="10"/>
    <n v="1002525594"/>
    <n v="26731"/>
    <s v="NGSO"/>
    <n v="12267"/>
    <n v="1583121"/>
  </r>
  <r>
    <n v="11165644"/>
    <s v="Nuevo Vigente"/>
    <x v="9"/>
    <n v="52837437"/>
    <n v="26730"/>
    <s v="NGSO"/>
    <n v="13218"/>
    <n v="1578000"/>
  </r>
  <r>
    <n v="7758577"/>
    <s v="Nuevo Vigente"/>
    <x v="11"/>
    <n v="1012434013"/>
    <n v="26735"/>
    <s v="NGSO"/>
    <n v="10942"/>
    <n v="1578000"/>
  </r>
  <r>
    <n v="10830593"/>
    <s v="Nuevo Vigente"/>
    <x v="1"/>
    <n v="1018439309"/>
    <n v="23384"/>
    <s v="NGSO"/>
    <n v="10856"/>
    <n v="1574000"/>
  </r>
  <r>
    <n v="7086868"/>
    <s v="Nuevo Vigente"/>
    <x v="2"/>
    <n v="1000338067"/>
    <n v="24433"/>
    <s v="NGSO"/>
    <n v="10850"/>
    <n v="1571352"/>
  </r>
  <r>
    <n v="11428250"/>
    <s v="Desocupado Segundo Semestre 2023 - 2025"/>
    <x v="26"/>
    <n v="1002208098"/>
    <n v="24462"/>
    <s v="NGSO"/>
    <n v="13543"/>
    <n v="1550000"/>
  </r>
  <r>
    <n v="10690152"/>
    <s v="Nuevo Vigente"/>
    <x v="0"/>
    <n v="1019115964"/>
    <n v="23410"/>
    <s v="NGSO"/>
    <n v="2156"/>
    <n v="1539000"/>
  </r>
  <r>
    <n v="10014134"/>
    <s v="Nuevo Vigente"/>
    <x v="7"/>
    <n v="1032677388"/>
    <n v="26623"/>
    <s v="NGSO"/>
    <n v="11003"/>
    <n v="1530500"/>
  </r>
  <r>
    <n v="6021502"/>
    <s v="Nuevo Vigente"/>
    <x v="17"/>
    <n v="1001116838"/>
    <n v="27104"/>
    <s v="NGSO"/>
    <n v="11332"/>
    <n v="1522000"/>
  </r>
  <r>
    <n v="5871054"/>
    <s v="Nuevo Vigente"/>
    <x v="6"/>
    <n v="1138074284"/>
    <n v="27172"/>
    <s v="NGSO"/>
    <n v="11508"/>
    <n v="1521800"/>
  </r>
  <r>
    <n v="10908313"/>
    <s v="Nuevo Vigente - Respetado"/>
    <x v="19"/>
    <n v="1000004978"/>
    <n v="27203"/>
    <s v="NGSO"/>
    <n v="10618"/>
    <n v="1520446"/>
  </r>
  <r>
    <n v="11564850"/>
    <s v="Nuevo Vigente"/>
    <x v="16"/>
    <n v="1014284618"/>
    <n v="27083"/>
    <s v="NGSO"/>
    <n v="10160"/>
    <n v="1520000"/>
  </r>
  <r>
    <n v="10561448"/>
    <s v="Nuevo Vigente"/>
    <x v="14"/>
    <n v="1016106935"/>
    <n v="27064"/>
    <s v="NGSO"/>
    <n v="11517"/>
    <n v="1514744"/>
  </r>
  <r>
    <n v="7416642"/>
    <s v="Nuevo Vigente"/>
    <x v="12"/>
    <n v="1000218098"/>
    <n v="26786"/>
    <s v="NGSO"/>
    <n v="11199"/>
    <n v="1514500"/>
  </r>
  <r>
    <n v="7429631"/>
    <s v="Nuevo Vigente"/>
    <x v="13"/>
    <n v="1001275619"/>
    <n v="27063"/>
    <s v="NGSO"/>
    <n v="11448"/>
    <n v="1513231"/>
  </r>
  <r>
    <n v="10501459"/>
    <s v="Nuevo Vigente"/>
    <x v="15"/>
    <n v="1024593276"/>
    <n v="27068"/>
    <s v="NGSO"/>
    <n v="2001"/>
    <n v="1512400"/>
  </r>
  <r>
    <n v="7182489"/>
    <s v="Nuevo Vigente"/>
    <x v="9"/>
    <n v="52837437"/>
    <n v="26730"/>
    <s v="NGSO"/>
    <n v="13439"/>
    <n v="1510896"/>
  </r>
  <r>
    <n v="11386108"/>
    <s v="Nuevo Vigente"/>
    <x v="3"/>
    <n v="1000727404"/>
    <n v="24436"/>
    <s v="NGSO"/>
    <n v="13802"/>
    <n v="1500000"/>
  </r>
  <r>
    <n v="10753717"/>
    <s v="Nuevo Vigente - Respetado"/>
    <x v="19"/>
    <n v="1000004978"/>
    <n v="27203"/>
    <s v="NGSO"/>
    <n v="483"/>
    <n v="1500000"/>
  </r>
  <r>
    <n v="10910191"/>
    <s v="Nuevo Vigente"/>
    <x v="10"/>
    <n v="1002525594"/>
    <n v="26731"/>
    <s v="NGSO"/>
    <n v="2158"/>
    <n v="1500000"/>
  </r>
  <r>
    <n v="6574293"/>
    <s v="Nuevo Vigente"/>
    <x v="11"/>
    <n v="1012434013"/>
    <n v="26735"/>
    <s v="NGSO"/>
    <n v="175"/>
    <n v="1500000"/>
  </r>
  <r>
    <n v="10300518"/>
    <s v="Nuevo Vigente - Respetado"/>
    <x v="26"/>
    <n v="1002208098"/>
    <n v="24462"/>
    <s v="NGSO"/>
    <n v="11384"/>
    <n v="1500000"/>
  </r>
  <r>
    <n v="10228570"/>
    <s v="Desocupado Segundo Semestre 2023 - 2025"/>
    <x v="20"/>
    <n v="1014190282"/>
    <n v="27166"/>
    <s v="NGSO"/>
    <n v="12501"/>
    <n v="1500000"/>
  </r>
  <r>
    <n v="10950934"/>
    <s v="Nuevo Vigente"/>
    <x v="5"/>
    <n v="1033685482"/>
    <n v="24441"/>
    <s v="NGSO"/>
    <n v="11512"/>
    <n v="1472800"/>
  </r>
  <r>
    <n v="10564586"/>
    <s v="Nuevo Vigente"/>
    <x v="4"/>
    <n v="1015449218"/>
    <n v="24438"/>
    <s v="NGSO"/>
    <n v="11444"/>
    <n v="1440000"/>
  </r>
  <r>
    <n v="6570826"/>
    <s v="Nuevo Vigente"/>
    <x v="8"/>
    <n v="52756032"/>
    <n v="26668"/>
    <s v="NGSO"/>
    <n v="10597"/>
    <n v="1435013"/>
  </r>
  <r>
    <n v="10280156"/>
    <s v="Nuevo Vigente"/>
    <x v="1"/>
    <n v="1018439309"/>
    <n v="23384"/>
    <s v="NGSO"/>
    <n v="11423"/>
    <n v="1420640"/>
  </r>
  <r>
    <n v="10830753"/>
    <s v="Nuevo Vigente"/>
    <x v="2"/>
    <n v="1000338067"/>
    <n v="24433"/>
    <s v="NGSO"/>
    <n v="10909"/>
    <n v="1420640"/>
  </r>
  <r>
    <n v="11305728"/>
    <s v="Nuevo Vigente"/>
    <x v="7"/>
    <n v="1032677388"/>
    <n v="26623"/>
    <s v="NGSO"/>
    <n v="11508"/>
    <n v="1400000"/>
  </r>
  <r>
    <n v="11678387"/>
    <s v="Nuevo Vigente"/>
    <x v="14"/>
    <n v="1016106935"/>
    <n v="27064"/>
    <s v="NGSO"/>
    <n v="10618"/>
    <n v="1400000"/>
  </r>
  <r>
    <n v="11351828"/>
    <s v="Nuevo Vigente"/>
    <x v="0"/>
    <n v="1019115964"/>
    <n v="23410"/>
    <s v="NGSO"/>
    <n v="10456"/>
    <n v="1400000"/>
  </r>
  <r>
    <n v="11224493"/>
    <s v="Nuevo Vigente"/>
    <x v="15"/>
    <n v="1024593276"/>
    <n v="27068"/>
    <s v="NGSO"/>
    <n v="2070"/>
    <n v="1400000"/>
  </r>
  <r>
    <n v="11590081"/>
    <s v="Nuevo Vigente"/>
    <x v="17"/>
    <n v="1001116838"/>
    <n v="27104"/>
    <s v="NGSO"/>
    <n v="483"/>
    <n v="1400000"/>
  </r>
  <r>
    <n v="11543241"/>
    <s v="Nuevo Vigente"/>
    <x v="6"/>
    <n v="1138074284"/>
    <n v="27172"/>
    <s v="NGSO"/>
    <n v="10937"/>
    <n v="1400000"/>
  </r>
  <r>
    <n v="11260761"/>
    <s v="Nuevo Vigente"/>
    <x v="13"/>
    <n v="1001275619"/>
    <n v="27063"/>
    <s v="NGSO"/>
    <n v="728"/>
    <n v="1399000"/>
  </r>
  <r>
    <n v="10887447"/>
    <s v="Nuevo Vigente"/>
    <x v="12"/>
    <n v="1000218098"/>
    <n v="26786"/>
    <s v="NGSO"/>
    <n v="11307"/>
    <n v="1396600"/>
  </r>
  <r>
    <n v="6740977"/>
    <s v="Nuevo Vigente"/>
    <x v="16"/>
    <n v="1014284618"/>
    <n v="27083"/>
    <s v="NGSO"/>
    <n v="10807"/>
    <n v="1394952"/>
  </r>
  <r>
    <n v="11073109"/>
    <s v="Nuevo Vigente"/>
    <x v="8"/>
    <n v="52756032"/>
    <n v="26668"/>
    <s v="NGSO"/>
    <n v="429"/>
    <n v="1367600"/>
  </r>
  <r>
    <n v="10037299"/>
    <s v="Nuevo Vigente"/>
    <x v="4"/>
    <n v="1015449218"/>
    <n v="24438"/>
    <s v="NGSO"/>
    <n v="13327"/>
    <n v="1365479"/>
  </r>
  <r>
    <n v="10647596"/>
    <s v="Nuevo Vigente"/>
    <x v="5"/>
    <n v="1033685482"/>
    <n v="24441"/>
    <s v="NGSO"/>
    <n v="12555"/>
    <n v="1350000"/>
  </r>
  <r>
    <n v="7412867"/>
    <s v="Nuevo Vigente"/>
    <x v="11"/>
    <n v="1012434013"/>
    <n v="26735"/>
    <s v="NGSO"/>
    <n v="97"/>
    <n v="1300458"/>
  </r>
  <r>
    <n v="11222953"/>
    <s v="Nuevo Vigente"/>
    <x v="9"/>
    <n v="52837437"/>
    <n v="26730"/>
    <s v="NGSO"/>
    <n v="970"/>
    <n v="1300000"/>
  </r>
  <r>
    <n v="11315915"/>
    <s v="Nuevo Vigente"/>
    <x v="3"/>
    <n v="1000727404"/>
    <n v="24436"/>
    <s v="NGSO"/>
    <n v="10670"/>
    <n v="1300000"/>
  </r>
  <r>
    <n v="7742452"/>
    <s v="Nuevo Vigente"/>
    <x v="10"/>
    <n v="1002525594"/>
    <n v="26731"/>
    <s v="NGSO"/>
    <n v="12604"/>
    <n v="1300000"/>
  </r>
  <r>
    <n v="10661152"/>
    <s v="Nuevo Vigente"/>
    <x v="2"/>
    <n v="1000338067"/>
    <n v="24433"/>
    <s v="NGSO"/>
    <n v="12566"/>
    <n v="1256200"/>
  </r>
  <r>
    <n v="6990526"/>
    <s v="Nuevo Vigente"/>
    <x v="1"/>
    <n v="1018439309"/>
    <n v="23384"/>
    <s v="NGSO"/>
    <n v="13323"/>
    <n v="1255800"/>
  </r>
  <r>
    <n v="7182944"/>
    <s v="Nuevo Vigente"/>
    <x v="0"/>
    <n v="1019115964"/>
    <n v="23410"/>
    <s v="NGSO"/>
    <n v="11193"/>
    <n v="1236214"/>
  </r>
  <r>
    <n v="11103034"/>
    <s v="Nuevo Vigente"/>
    <x v="7"/>
    <n v="1032677388"/>
    <n v="26623"/>
    <s v="NGSO"/>
    <n v="12644"/>
    <n v="1220400"/>
  </r>
  <r>
    <n v="10847870"/>
    <s v="Nuevo Vigente"/>
    <x v="17"/>
    <n v="1001116838"/>
    <n v="27104"/>
    <s v="NGSO"/>
    <n v="11190"/>
    <n v="1202000"/>
  </r>
  <r>
    <n v="10241545"/>
    <s v="Nuevo Vigente"/>
    <x v="11"/>
    <n v="1012434013"/>
    <n v="26735"/>
    <s v="NGSO"/>
    <n v="624"/>
    <n v="1173263"/>
  </r>
  <r>
    <n v="10809648"/>
    <s v="Nuevo Vigente - Respetado"/>
    <x v="23"/>
    <n v="1033684323"/>
    <n v="24744"/>
    <s v="NGSO"/>
    <n v="483"/>
    <n v="1167550"/>
  </r>
  <r>
    <n v="11584784"/>
    <s v="Nuevo Vigente"/>
    <x v="10"/>
    <n v="1002525594"/>
    <n v="26731"/>
    <s v="NGSO"/>
    <n v="10657"/>
    <n v="1160000"/>
  </r>
  <r>
    <n v="6667155"/>
    <s v="Nuevo Vigente"/>
    <x v="3"/>
    <n v="1000727404"/>
    <n v="24436"/>
    <s v="NGSO"/>
    <n v="11229"/>
    <n v="1149000"/>
  </r>
  <r>
    <n v="7821743"/>
    <s v="Desocupado Segundo Semestre 2023 - 2025"/>
    <x v="23"/>
    <n v="1033684323"/>
    <n v="24744"/>
    <s v="NGSO"/>
    <n v="149733"/>
    <n v="1140000"/>
  </r>
  <r>
    <n v="6854012"/>
    <s v="Nuevo Vigente"/>
    <x v="9"/>
    <n v="52837437"/>
    <n v="26730"/>
    <s v="NGSO"/>
    <n v="10413"/>
    <n v="1104056"/>
  </r>
  <r>
    <n v="11331929"/>
    <s v="Nuevo Vigente"/>
    <x v="16"/>
    <n v="1014284618"/>
    <n v="27083"/>
    <s v="NGSO"/>
    <n v="13573"/>
    <n v="1100000"/>
  </r>
  <r>
    <n v="11271240"/>
    <s v="Nuevo Vigente"/>
    <x v="12"/>
    <n v="1000218098"/>
    <n v="26786"/>
    <s v="NGSO"/>
    <n v="483"/>
    <n v="1100000"/>
  </r>
  <r>
    <n v="11228963"/>
    <s v="Nuevo Vigente"/>
    <x v="6"/>
    <n v="1138074284"/>
    <n v="27172"/>
    <s v="NGSO"/>
    <n v="1911"/>
    <n v="1100000"/>
  </r>
  <r>
    <n v="10235429"/>
    <s v="Nuevo Vigente"/>
    <x v="14"/>
    <n v="1016106935"/>
    <n v="27064"/>
    <s v="NGSO"/>
    <n v="12677"/>
    <n v="1095951"/>
  </r>
  <r>
    <n v="10765497"/>
    <s v="Nuevo Vigente"/>
    <x v="13"/>
    <n v="1001275619"/>
    <n v="27063"/>
    <s v="NGSO"/>
    <n v="13475"/>
    <n v="1092800"/>
  </r>
  <r>
    <n v="7666194"/>
    <s v="Nuevo Vigente"/>
    <x v="15"/>
    <n v="1024593276"/>
    <n v="27068"/>
    <s v="NGSO"/>
    <n v="13010"/>
    <n v="1092144"/>
  </r>
  <r>
    <n v="11205670"/>
    <s v="Nuevo Vigente"/>
    <x v="2"/>
    <n v="1000338067"/>
    <n v="24433"/>
    <s v="NGSO"/>
    <n v="13037"/>
    <n v="1052000"/>
  </r>
  <r>
    <n v="11271005"/>
    <s v="Nuevo Vigente"/>
    <x v="1"/>
    <n v="1018439309"/>
    <n v="23384"/>
    <s v="NGSO"/>
    <n v="13226"/>
    <n v="1050000"/>
  </r>
  <r>
    <n v="10632839"/>
    <s v="Nuevo Vigente - Respetado"/>
    <x v="20"/>
    <n v="1014190282"/>
    <n v="27166"/>
    <s v="NGSO"/>
    <n v="10359"/>
    <n v="1030400"/>
  </r>
  <r>
    <n v="10702352"/>
    <s v="Nuevo Vigente"/>
    <x v="5"/>
    <n v="1033685482"/>
    <n v="24441"/>
    <s v="NGSO"/>
    <n v="655"/>
    <n v="1022700"/>
  </r>
  <r>
    <n v="11492638"/>
    <s v="Nuevo Vigente - Respetado"/>
    <x v="26"/>
    <n v="1002208098"/>
    <n v="24462"/>
    <s v="NGSO"/>
    <n v="13033"/>
    <n v="1000000"/>
  </r>
  <r>
    <n v="7767968"/>
    <s v="Nuevo Vigente - Respetado"/>
    <x v="26"/>
    <n v="1002208098"/>
    <n v="24462"/>
    <s v="NGSO"/>
    <n v="13033"/>
    <n v="1000000"/>
  </r>
  <r>
    <n v="6834900"/>
    <s v="Nuevo Vigente - Respetado"/>
    <x v="23"/>
    <n v="1033684323"/>
    <n v="24744"/>
    <s v="NGSO"/>
    <n v="13343"/>
    <n v="1000000"/>
  </r>
  <r>
    <n v="10491963"/>
    <s v="Nuevo Vigente - Respetado"/>
    <x v="23"/>
    <n v="1033684323"/>
    <n v="24744"/>
    <s v="NGSO"/>
    <n v="483"/>
    <n v="1000000"/>
  </r>
  <r>
    <n v="11081284"/>
    <s v="Nuevo Vigente - Respetado"/>
    <x v="22"/>
    <n v="1001216235"/>
    <n v="25962"/>
    <s v="NGSO"/>
    <n v="483"/>
    <n v="1000000"/>
  </r>
  <r>
    <n v="11175318"/>
    <s v="Nuevo Vigente"/>
    <x v="8"/>
    <n v="52756032"/>
    <n v="26668"/>
    <s v="NGSO"/>
    <n v="937"/>
    <n v="1000000"/>
  </r>
  <r>
    <n v="6866469"/>
    <s v="Nuevo Vigente - Respetado"/>
    <x v="23"/>
    <n v="1033684323"/>
    <n v="24744"/>
    <s v="NGSO"/>
    <n v="11401"/>
    <n v="1000000"/>
  </r>
  <r>
    <n v="11182321"/>
    <s v="Nuevo Vigente - Respetado"/>
    <x v="19"/>
    <n v="1000004978"/>
    <n v="27203"/>
    <s v="NGSO"/>
    <n v="13093"/>
    <n v="1000000"/>
  </r>
  <r>
    <n v="7041752"/>
    <s v="Nuevo Vigente - Respetado"/>
    <x v="24"/>
    <n v="52879254"/>
    <n v="27224"/>
    <s v="NGSO"/>
    <n v="13304"/>
    <n v="1000000"/>
  </r>
  <r>
    <n v="7161411"/>
    <s v="Nuevo Vigente - Respetado"/>
    <x v="18"/>
    <n v="1000620841"/>
    <n v="27167"/>
    <s v="NGSO"/>
    <n v="12566"/>
    <n v="1000000"/>
  </r>
  <r>
    <n v="10075458"/>
    <s v="Nuevo Vigente - Respetado"/>
    <x v="22"/>
    <n v="1001216235"/>
    <n v="25962"/>
    <s v="NGSO"/>
    <n v="11055"/>
    <n v="1000000"/>
  </r>
  <r>
    <n v="7518314"/>
    <s v="Nuevo Vigente - Respetado"/>
    <x v="23"/>
    <n v="1033684323"/>
    <n v="24744"/>
    <s v="NGSO"/>
    <n v="13542"/>
    <n v="1000000"/>
  </r>
  <r>
    <n v="11114511"/>
    <s v="Nuevo Vigente - Respetado"/>
    <x v="25"/>
    <n v="1000250399"/>
    <n v="27143"/>
    <s v="NGSO"/>
    <n v="483"/>
    <n v="1000000"/>
  </r>
  <r>
    <n v="11303726"/>
    <s v="Nuevo Vigente - Respetado"/>
    <x v="26"/>
    <n v="1002208098"/>
    <n v="24462"/>
    <s v="NGSO"/>
    <n v="483"/>
    <n v="1000000"/>
  </r>
  <r>
    <n v="6586902"/>
    <s v="Nuevo Vigente"/>
    <x v="4"/>
    <n v="1015449218"/>
    <n v="24438"/>
    <s v="NGSO"/>
    <n v="13150"/>
    <n v="1000000"/>
  </r>
  <r>
    <n v="11128996"/>
    <s v="Nuevo Vigente - Respetado"/>
    <x v="24"/>
    <n v="52879254"/>
    <n v="27224"/>
    <s v="NGSO"/>
    <n v="10335"/>
    <n v="1000000"/>
  </r>
  <r>
    <n v="7600269"/>
    <s v="Nuevo Vigente - Respetado"/>
    <x v="22"/>
    <n v="1001216235"/>
    <n v="25962"/>
    <s v="NGSO"/>
    <n v="11003"/>
    <n v="1000000"/>
  </r>
  <r>
    <n v="7658679"/>
    <s v="Nuevo Vigente - Respetado"/>
    <x v="22"/>
    <n v="1001216235"/>
    <n v="25962"/>
    <s v="NGSO"/>
    <n v="13327"/>
    <n v="1000000"/>
  </r>
  <r>
    <n v="11222108"/>
    <s v="Nuevo Vigente"/>
    <x v="0"/>
    <n v="1019115964"/>
    <n v="23410"/>
    <s v="NGSO"/>
    <n v="12555"/>
    <n v="1000000"/>
  </r>
  <r>
    <n v="10324818"/>
    <s v="Nuevo Vigente - Respetado"/>
    <x v="26"/>
    <n v="1002208098"/>
    <n v="24462"/>
    <s v="NGSO"/>
    <n v="13078"/>
    <n v="1000000"/>
  </r>
  <r>
    <n v="10290313"/>
    <s v="Nuevo Vigente - Respetado"/>
    <x v="23"/>
    <n v="1033684323"/>
    <n v="24744"/>
    <s v="NGSO"/>
    <n v="13078"/>
    <n v="1000000"/>
  </r>
  <r>
    <n v="11155194"/>
    <s v="Nuevo Vigente - Respetado"/>
    <x v="26"/>
    <n v="1002208098"/>
    <n v="24462"/>
    <s v="NGSO"/>
    <n v="13327"/>
    <n v="1000000"/>
  </r>
  <r>
    <n v="7675308"/>
    <s v="Nuevo Vigente - Respetado"/>
    <x v="19"/>
    <n v="1000004978"/>
    <n v="27203"/>
    <s v="NGSO"/>
    <n v="13691"/>
    <n v="1000000"/>
  </r>
  <r>
    <n v="6184862"/>
    <s v="Nuevo Vigente - Respetado"/>
    <x v="23"/>
    <n v="1033684323"/>
    <n v="24744"/>
    <s v="NGSO"/>
    <n v="13072"/>
    <n v="1000000"/>
  </r>
  <r>
    <n v="10819687"/>
    <s v="Nuevo Vigente - Respetado"/>
    <x v="18"/>
    <n v="1000620841"/>
    <n v="27167"/>
    <s v="NGSO"/>
    <n v="10618"/>
    <n v="1000000"/>
  </r>
  <r>
    <n v="11025009"/>
    <s v="Nuevo Vigente - Respetado"/>
    <x v="26"/>
    <n v="1002208098"/>
    <n v="24462"/>
    <s v="NGSO"/>
    <n v="13535"/>
    <n v="1000000"/>
  </r>
  <r>
    <n v="7663733"/>
    <s v="Nuevo Vigente - Respetado"/>
    <x v="24"/>
    <n v="52879254"/>
    <n v="27224"/>
    <s v="NGSO"/>
    <n v="11469"/>
    <n v="1000000"/>
  </r>
  <r>
    <n v="11041064"/>
    <s v="Nuevo Vigente"/>
    <x v="7"/>
    <n v="1032677388"/>
    <n v="26623"/>
    <s v="NGSO"/>
    <n v="13150"/>
    <n v="999400"/>
  </r>
  <r>
    <n v="11061081"/>
    <s v="Nuevo Vigente - Respetado"/>
    <x v="20"/>
    <n v="1014190282"/>
    <n v="27166"/>
    <s v="NGSO"/>
    <n v="14027"/>
    <n v="999000"/>
  </r>
  <r>
    <n v="11104919"/>
    <s v="Nuevo Vigente"/>
    <x v="17"/>
    <n v="1001116838"/>
    <n v="27104"/>
    <s v="NGSO"/>
    <n v="10754"/>
    <n v="988880"/>
  </r>
  <r>
    <n v="10614097"/>
    <s v="Nuevo Vigente"/>
    <x v="8"/>
    <n v="52756032"/>
    <n v="26668"/>
    <s v="NGSO"/>
    <n v="483"/>
    <n v="975000"/>
  </r>
  <r>
    <n v="5670341"/>
    <s v="Nuevo Vigente"/>
    <x v="4"/>
    <n v="1015449218"/>
    <n v="24438"/>
    <s v="NGSO"/>
    <n v="10335"/>
    <n v="959459"/>
  </r>
  <r>
    <n v="7755474"/>
    <s v="Nuevo Vigente"/>
    <x v="5"/>
    <n v="1033685482"/>
    <n v="24441"/>
    <s v="NGSO"/>
    <n v="10792"/>
    <n v="920000"/>
  </r>
  <r>
    <n v="10518460"/>
    <s v="Nuevo Vigente - Respetado"/>
    <x v="20"/>
    <n v="1014190282"/>
    <n v="27166"/>
    <s v="NGSO"/>
    <n v="14027"/>
    <n v="909675"/>
  </r>
  <r>
    <n v="6538653"/>
    <s v="Nuevo Vigente"/>
    <x v="1"/>
    <n v="1018439309"/>
    <n v="23384"/>
    <s v="NGSO"/>
    <n v="13157"/>
    <n v="896858"/>
  </r>
  <r>
    <n v="10460022"/>
    <s v="Nuevo Vigente"/>
    <x v="2"/>
    <n v="1000338067"/>
    <n v="24433"/>
    <s v="NGSO"/>
    <n v="13037"/>
    <n v="891523"/>
  </r>
  <r>
    <n v="11637387"/>
    <s v="Nuevo Vigente"/>
    <x v="13"/>
    <n v="1001275619"/>
    <n v="27063"/>
    <s v="NGSO"/>
    <n v="12606"/>
    <n v="850000"/>
  </r>
  <r>
    <n v="11137503"/>
    <s v="Nuevo Vigente - Respetado"/>
    <x v="20"/>
    <n v="1014190282"/>
    <n v="27166"/>
    <s v="NGSO"/>
    <n v="13093"/>
    <n v="846045"/>
  </r>
  <r>
    <n v="10659264"/>
    <s v="Nuevo Vigente"/>
    <x v="15"/>
    <n v="1024593276"/>
    <n v="27068"/>
    <s v="NGSO"/>
    <n v="1702"/>
    <n v="830530"/>
  </r>
  <r>
    <n v="10701905"/>
    <s v="Nuevo Vigente"/>
    <x v="6"/>
    <n v="1138074284"/>
    <n v="27172"/>
    <s v="NGSO"/>
    <n v="1328"/>
    <n v="828501"/>
  </r>
  <r>
    <n v="11071822"/>
    <s v="Nuevo Vigente"/>
    <x v="14"/>
    <n v="1016106935"/>
    <n v="27064"/>
    <s v="NGSO"/>
    <n v="11483"/>
    <n v="820000"/>
  </r>
  <r>
    <n v="10790013"/>
    <s v="Desocupado Segundo Semestre 2023 - 2025"/>
    <x v="25"/>
    <n v="1000250399"/>
    <n v="27143"/>
    <s v="NGSO"/>
    <n v="11055"/>
    <n v="818090"/>
  </r>
  <r>
    <n v="11674542"/>
    <s v="Nuevo Vigente"/>
    <x v="16"/>
    <n v="1014284618"/>
    <n v="27083"/>
    <s v="NGSO"/>
    <n v="11043"/>
    <n v="812300"/>
  </r>
  <r>
    <n v="10840420"/>
    <s v="Nuevo Vigente"/>
    <x v="12"/>
    <n v="1000218098"/>
    <n v="26786"/>
    <s v="NGSO"/>
    <n v="1704"/>
    <n v="809300"/>
  </r>
  <r>
    <n v="10884420"/>
    <s v="Nuevo Vigente - Respetado"/>
    <x v="25"/>
    <n v="1000250399"/>
    <n v="27143"/>
    <s v="NGSO"/>
    <n v="10858"/>
    <n v="802571"/>
  </r>
  <r>
    <n v="11121514"/>
    <s v="Nuevo Vigente"/>
    <x v="9"/>
    <n v="52837437"/>
    <n v="26730"/>
    <s v="NGSO"/>
    <n v="10335"/>
    <n v="801500"/>
  </r>
  <r>
    <n v="7522337"/>
    <s v="Nuevo Vigente - Respetado"/>
    <x v="20"/>
    <n v="1014190282"/>
    <n v="27166"/>
    <s v="NGSO"/>
    <n v="13399"/>
    <n v="800707"/>
  </r>
  <r>
    <n v="11590422"/>
    <s v="Nuevo Vigente"/>
    <x v="3"/>
    <n v="1000727404"/>
    <n v="24436"/>
    <s v="NGSO"/>
    <n v="2145"/>
    <n v="800000"/>
  </r>
  <r>
    <n v="10287961"/>
    <s v="Nuevo Vigente - Respetado"/>
    <x v="24"/>
    <n v="52879254"/>
    <n v="27224"/>
    <s v="NGSO"/>
    <n v="13327"/>
    <n v="739666"/>
  </r>
  <r>
    <n v="5490188"/>
    <s v="Nuevo Vigente"/>
    <x v="10"/>
    <n v="1002525594"/>
    <n v="26731"/>
    <s v="NGSO"/>
    <n v="10474"/>
    <n v="707850"/>
  </r>
  <r>
    <n v="10581047"/>
    <s v="Nuevo Vigente - Respetado"/>
    <x v="26"/>
    <n v="1002208098"/>
    <n v="24462"/>
    <s v="NGSO"/>
    <n v="1549"/>
    <n v="658790"/>
  </r>
  <r>
    <n v="7541369"/>
    <s v="Nuevo Vigente"/>
    <x v="11"/>
    <n v="1012434013"/>
    <n v="26735"/>
    <s v="NGSO"/>
    <n v="814"/>
    <n v="645870"/>
  </r>
  <r>
    <n v="7189009"/>
    <s v="Nuevo Vigente"/>
    <x v="0"/>
    <n v="1019115964"/>
    <n v="23410"/>
    <s v="NGSO"/>
    <n v="10526"/>
    <n v="581362"/>
  </r>
  <r>
    <n v="7645904"/>
    <s v="Nuevo Vigente"/>
    <x v="11"/>
    <n v="1012434013"/>
    <n v="26735"/>
    <s v="NGSO"/>
    <n v="11146"/>
    <n v="571021"/>
  </r>
  <r>
    <n v="10635558"/>
    <s v="Nuevo Vigente"/>
    <x v="7"/>
    <n v="1032677388"/>
    <n v="26623"/>
    <s v="NGSO"/>
    <n v="13142"/>
    <n v="527456"/>
  </r>
  <r>
    <n v="11119530"/>
    <s v="Nuevo Vigente - Respetado"/>
    <x v="18"/>
    <n v="1000620841"/>
    <n v="27167"/>
    <s v="NGSO"/>
    <n v="13093"/>
    <n v="500854"/>
  </r>
  <r>
    <n v="7702014"/>
    <s v="Nuevo Vigente - Respetado"/>
    <x v="18"/>
    <n v="1000620841"/>
    <n v="27167"/>
    <s v="NGSO"/>
    <n v="12167"/>
    <n v="500000"/>
  </r>
  <r>
    <n v="10908313"/>
    <s v="Nuevo Vigente - Respetado"/>
    <x v="19"/>
    <n v="1000004978"/>
    <n v="27203"/>
    <s v="NGSO"/>
    <n v="10618"/>
    <n v="479554"/>
  </r>
  <r>
    <n v="10056133"/>
    <s v="Nuevo Vigente"/>
    <x v="10"/>
    <n v="1002525594"/>
    <n v="26731"/>
    <s v="NGSO"/>
    <n v="12487"/>
    <n v="477211"/>
  </r>
  <r>
    <n v="7239459"/>
    <s v="Nuevo Vigente"/>
    <x v="9"/>
    <n v="52837437"/>
    <n v="26730"/>
    <s v="NGSO"/>
    <n v="937"/>
    <n v="450000"/>
  </r>
  <r>
    <n v="10971468"/>
    <s v="Nuevo Vigente - Respetado"/>
    <x v="18"/>
    <n v="1000620841"/>
    <n v="27167"/>
    <s v="NGSO"/>
    <n v="717"/>
    <n v="446700"/>
  </r>
  <r>
    <n v="7508495"/>
    <s v="Nuevo Vigente - Respetado"/>
    <x v="20"/>
    <n v="1014190282"/>
    <n v="27166"/>
    <s v="NGSO"/>
    <n v="13147"/>
    <n v="410078"/>
  </r>
  <r>
    <n v="10165450"/>
    <s v="Nuevo Vigente - Respetado"/>
    <x v="21"/>
    <n v="6479682"/>
    <n v="27164"/>
    <s v="NGSO"/>
    <n v="14156"/>
    <n v="403834"/>
  </r>
  <r>
    <n v="7172504"/>
    <s v="Nuevo Vigente"/>
    <x v="12"/>
    <n v="1000218098"/>
    <n v="26786"/>
    <s v="NGSO"/>
    <n v="13510"/>
    <n v="398291"/>
  </r>
  <r>
    <n v="10526290"/>
    <s v="Nuevo Vigente - Respetado"/>
    <x v="21"/>
    <n v="6479682"/>
    <n v="27164"/>
    <s v="NGSO"/>
    <n v="13432"/>
    <n v="394150"/>
  </r>
  <r>
    <n v="10991215"/>
    <s v="Nuevo Vigente"/>
    <x v="16"/>
    <n v="1014284618"/>
    <n v="27083"/>
    <s v="NGSO"/>
    <n v="1969"/>
    <n v="375070"/>
  </r>
  <r>
    <n v="11203804"/>
    <s v="Desocupado Segundo Semestre 2023 - 2025"/>
    <x v="18"/>
    <n v="1000620841"/>
    <n v="27167"/>
    <s v="NGSO"/>
    <n v="12577"/>
    <n v="360000"/>
  </r>
  <r>
    <n v="7663853"/>
    <s v="Nuevo Vigente"/>
    <x v="14"/>
    <n v="1016106935"/>
    <n v="27064"/>
    <s v="NGSO"/>
    <n v="11479"/>
    <n v="351860"/>
  </r>
  <r>
    <n v="10283822"/>
    <s v="Desocupado Segundo Semestre 2023 - 2025"/>
    <x v="21"/>
    <n v="6479682"/>
    <n v="27164"/>
    <s v="NGSO"/>
    <n v="11055"/>
    <n v="333767"/>
  </r>
  <r>
    <n v="7759175"/>
    <s v="Nuevo Vigente - Respetado"/>
    <x v="23"/>
    <n v="1033684323"/>
    <n v="24744"/>
    <s v="NGSO"/>
    <n v="13175"/>
    <n v="326827"/>
  </r>
  <r>
    <n v="10614491"/>
    <s v="Desocupado Segundo Semestre 2023 - 2025"/>
    <x v="25"/>
    <n v="1000250399"/>
    <n v="27143"/>
    <s v="NGSO"/>
    <n v="10497"/>
    <n v="320547"/>
  </r>
  <r>
    <n v="6184628"/>
    <s v="Nuevo Vigente"/>
    <x v="6"/>
    <n v="1138074284"/>
    <n v="27172"/>
    <s v="NGSO"/>
    <n v="13509"/>
    <n v="316839"/>
  </r>
  <r>
    <n v="7710738"/>
    <s v="Nuevo Vigente"/>
    <x v="15"/>
    <n v="1024593276"/>
    <n v="27068"/>
    <s v="NGSO"/>
    <n v="13150"/>
    <n v="316560"/>
  </r>
  <r>
    <n v="7450231"/>
    <s v="Nuevo Vigente - Respetado"/>
    <x v="25"/>
    <n v="1000250399"/>
    <n v="27143"/>
    <s v="NGSO"/>
    <n v="13432"/>
    <n v="300807"/>
  </r>
  <r>
    <n v="10153505"/>
    <s v="Nuevo Vigente - Respetado"/>
    <x v="21"/>
    <n v="6479682"/>
    <n v="27164"/>
    <s v="NGSO"/>
    <n v="15005"/>
    <n v="295024"/>
  </r>
  <r>
    <n v="10951330"/>
    <s v="Nuevo Vigente"/>
    <x v="3"/>
    <n v="1000727404"/>
    <n v="24436"/>
    <s v="NGSO"/>
    <n v="10007"/>
    <n v="293973"/>
  </r>
  <r>
    <n v="10601415"/>
    <s v="Nuevo Vigente"/>
    <x v="13"/>
    <n v="1001275619"/>
    <n v="27063"/>
    <s v="NGSO"/>
    <n v="10618"/>
    <n v="281500"/>
  </r>
  <r>
    <n v="11130412"/>
    <s v="Nuevo Vigente - Respetado"/>
    <x v="24"/>
    <n v="52879254"/>
    <n v="27224"/>
    <s v="NGSO"/>
    <n v="13226"/>
    <n v="270531"/>
  </r>
  <r>
    <n v="11150133"/>
    <s v="Nuevo Vigente"/>
    <x v="2"/>
    <n v="1000338067"/>
    <n v="24433"/>
    <s v="NGSO"/>
    <n v="1340"/>
    <n v="252490"/>
  </r>
  <r>
    <n v="11096071"/>
    <s v="Nuevo Vigente"/>
    <x v="1"/>
    <n v="1018439309"/>
    <n v="23384"/>
    <s v="NGSO"/>
    <n v="10946"/>
    <n v="249044"/>
  </r>
  <r>
    <n v="11045757"/>
    <s v="Nuevo Vigente - Respetado"/>
    <x v="20"/>
    <n v="1014190282"/>
    <n v="27166"/>
    <s v="NGSO"/>
    <n v="13010"/>
    <n v="233363"/>
  </r>
  <r>
    <n v="10620498"/>
    <s v="Nuevo Vigente"/>
    <x v="5"/>
    <n v="1033685482"/>
    <n v="24441"/>
    <s v="NGSO"/>
    <n v="13010"/>
    <n v="230379"/>
  </r>
  <r>
    <n v="10967780"/>
    <s v="Nuevo Vigente"/>
    <x v="17"/>
    <n v="1001116838"/>
    <n v="27104"/>
    <s v="NGSO"/>
    <n v="13093"/>
    <n v="222225"/>
  </r>
  <r>
    <n v="10162342"/>
    <s v="Nuevo Vigente - Respetado"/>
    <x v="19"/>
    <n v="1000004978"/>
    <n v="27203"/>
    <s v="NGSO"/>
    <n v="14156"/>
    <n v="192500"/>
  </r>
  <r>
    <n v="10167169"/>
    <s v="Nuevo Vigente - Respetado"/>
    <x v="19"/>
    <n v="1000004978"/>
    <n v="27203"/>
    <s v="NGSO"/>
    <n v="11043"/>
    <n v="156442"/>
  </r>
  <r>
    <n v="10069804"/>
    <s v="Nuevo Vigente"/>
    <x v="4"/>
    <n v="1015449218"/>
    <n v="24438"/>
    <s v="NGSO"/>
    <n v="10335"/>
    <n v="153511"/>
  </r>
  <r>
    <n v="5638405"/>
    <s v="Nuevo Vigente"/>
    <x v="8"/>
    <n v="52756032"/>
    <n v="26668"/>
    <s v="NGSO"/>
    <n v="13150"/>
    <n v="132584"/>
  </r>
  <r>
    <n v="10251350"/>
    <s v="Nuevo Vigente - Respetado"/>
    <x v="21"/>
    <n v="6479682"/>
    <n v="27164"/>
    <s v="NGSO"/>
    <n v="13157"/>
    <n v="111172"/>
  </r>
  <r>
    <n v="11061283"/>
    <s v="Nuevo Vigente - Respetado"/>
    <x v="18"/>
    <n v="1000620841"/>
    <n v="27167"/>
    <s v="NGSO"/>
    <n v="52"/>
    <n v="102801"/>
  </r>
  <r>
    <n v="10993655"/>
    <s v="Nuevo Vigente"/>
    <x v="8"/>
    <n v="52756032"/>
    <n v="26668"/>
    <s v="NGSO"/>
    <n v="13150"/>
    <n v="90871"/>
  </r>
  <r>
    <n v="10583114"/>
    <s v="Nuevo Vigente"/>
    <x v="4"/>
    <n v="1015449218"/>
    <n v="24438"/>
    <s v="NGSO"/>
    <n v="10946"/>
    <n v="88804"/>
  </r>
  <r>
    <n v="10474574"/>
    <s v="Nuevo Vigente - Respetado"/>
    <x v="25"/>
    <n v="1000250399"/>
    <n v="27143"/>
    <s v="NGSO"/>
    <n v="52"/>
    <n v="76878"/>
  </r>
  <r>
    <n v="10536778"/>
    <s v="Nuevo Vigente - Respetado"/>
    <x v="25"/>
    <n v="1000250399"/>
    <n v="27143"/>
    <s v="NGSO"/>
    <n v="10618"/>
    <n v="70000"/>
  </r>
  <r>
    <n v="10619871"/>
    <s v="Nuevo Vigente - Respetado"/>
    <x v="25"/>
    <n v="1000250399"/>
    <n v="27143"/>
    <s v="NGSO"/>
    <n v="12323"/>
    <n v="60250"/>
  </r>
  <r>
    <n v="10097284"/>
    <s v="Nuevo Vigente - Respetado"/>
    <x v="21"/>
    <n v="6479682"/>
    <n v="27164"/>
    <s v="NGSO"/>
    <n v="11147"/>
    <n v="59580"/>
  </r>
  <r>
    <n v="10544259"/>
    <s v="Nuevo Vigente"/>
    <x v="17"/>
    <n v="1001116838"/>
    <n v="27104"/>
    <s v="NGSO"/>
    <n v="11147"/>
    <n v="27174"/>
  </r>
  <r>
    <n v="7077807"/>
    <s v="Nuevo Vigente"/>
    <x v="5"/>
    <n v="1033685482"/>
    <n v="24441"/>
    <s v="NGSO"/>
    <n v="12328"/>
    <n v="17825"/>
  </r>
  <r>
    <n v="10173469"/>
    <s v="Nuevo Vigente"/>
    <x v="2"/>
    <n v="1000338067"/>
    <n v="24433"/>
    <s v="NGSO"/>
    <n v="13183"/>
    <n v="10222"/>
  </r>
  <r>
    <n v="11263052"/>
    <s v="Nuevo Vigente"/>
    <x v="0"/>
    <n v="1019115964"/>
    <n v="23410"/>
    <s v="NGSO"/>
    <n v="13465"/>
    <n v="0"/>
  </r>
  <r>
    <n v="7341372"/>
    <s v="Desocupado Segundo Semestre 2023 - 2025"/>
    <x v="21"/>
    <n v="6479682"/>
    <n v="27164"/>
    <s v="NGSO"/>
    <n v="42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B2181-106E-45E3-B35C-9E0186D9C4D3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31" firstHeaderRow="0" firstDataRow="1" firstDataCol="1"/>
  <pivotFields count="8">
    <pivotField dataField="1" showAll="0"/>
    <pivotField showAll="0"/>
    <pivotField axis="axisRow" showAll="0" sortType="descending">
      <items count="28">
        <item x="11"/>
        <item x="17"/>
        <item x="3"/>
        <item x="10"/>
        <item x="26"/>
        <item x="25"/>
        <item x="9"/>
        <item x="14"/>
        <item x="7"/>
        <item x="12"/>
        <item x="21"/>
        <item x="13"/>
        <item x="22"/>
        <item x="23"/>
        <item x="20"/>
        <item x="18"/>
        <item x="4"/>
        <item x="8"/>
        <item x="6"/>
        <item x="0"/>
        <item x="1"/>
        <item x="5"/>
        <item x="16"/>
        <item x="15"/>
        <item x="24"/>
        <item x="19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2"/>
  </rowFields>
  <rowItems count="28">
    <i>
      <x/>
    </i>
    <i>
      <x v="8"/>
    </i>
    <i>
      <x v="19"/>
    </i>
    <i>
      <x v="6"/>
    </i>
    <i>
      <x v="3"/>
    </i>
    <i>
      <x v="9"/>
    </i>
    <i>
      <x v="22"/>
    </i>
    <i>
      <x v="7"/>
    </i>
    <i>
      <x v="18"/>
    </i>
    <i>
      <x v="23"/>
    </i>
    <i>
      <x v="16"/>
    </i>
    <i>
      <x v="2"/>
    </i>
    <i>
      <x v="17"/>
    </i>
    <i>
      <x v="11"/>
    </i>
    <i>
      <x v="1"/>
    </i>
    <i>
      <x v="21"/>
    </i>
    <i>
      <x v="26"/>
    </i>
    <i>
      <x v="20"/>
    </i>
    <i>
      <x v="14"/>
    </i>
    <i>
      <x v="4"/>
    </i>
    <i>
      <x v="15"/>
    </i>
    <i>
      <x v="13"/>
    </i>
    <i>
      <x v="25"/>
    </i>
    <i>
      <x v="12"/>
    </i>
    <i>
      <x v="24"/>
    </i>
    <i>
      <x v="10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SOLICITUD" fld="0" subtotal="count" baseField="3" baseItem="7"/>
    <dataField name="Suma de Tipo Poliza" fld="7" baseField="0" baseItem="0" numFmtId="164"/>
  </dataFields>
  <formats count="30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2" type="button" dataOnly="0" labelOnly="1" outline="0" axis="axisRow" fieldPosition="0"/>
    </format>
    <format dxfId="32">
      <pivotArea dataOnly="0" labelOnly="1" fieldPosition="0">
        <references count="1">
          <reference field="2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">
      <pivotArea collapsedLevelsAreSubtotals="1" fieldPosition="0">
        <references count="1">
          <reference field="2" count="7">
            <x v="4"/>
            <x v="5"/>
            <x v="10"/>
            <x v="12"/>
            <x v="13"/>
            <x v="14"/>
            <x v="15"/>
          </reference>
        </references>
      </pivotArea>
    </format>
    <format dxfId="28">
      <pivotArea dataOnly="0" labelOnly="1" fieldPosition="0">
        <references count="1">
          <reference field="2" count="7">
            <x v="4"/>
            <x v="5"/>
            <x v="10"/>
            <x v="12"/>
            <x v="13"/>
            <x v="14"/>
            <x v="15"/>
          </reference>
        </references>
      </pivotArea>
    </format>
    <format dxfId="27">
      <pivotArea collapsedLevelsAreSubtotals="1" fieldPosition="0">
        <references count="1">
          <reference field="2" count="9">
            <x v="4"/>
            <x v="5"/>
            <x v="10"/>
            <x v="12"/>
            <x v="13"/>
            <x v="14"/>
            <x v="15"/>
            <x v="24"/>
            <x v="25"/>
          </reference>
        </references>
      </pivotArea>
    </format>
    <format dxfId="26">
      <pivotArea dataOnly="0" labelOnly="1" fieldPosition="0">
        <references count="1">
          <reference field="2" count="9">
            <x v="4"/>
            <x v="5"/>
            <x v="10"/>
            <x v="12"/>
            <x v="13"/>
            <x v="14"/>
            <x v="15"/>
            <x v="24"/>
            <x v="25"/>
          </reference>
        </references>
      </pivotArea>
    </format>
    <format dxfId="25">
      <pivotArea collapsedLevelsAreSubtotals="1" fieldPosition="0">
        <references count="1">
          <reference field="2" count="1">
            <x v="18"/>
          </reference>
        </references>
      </pivotArea>
    </format>
    <format dxfId="24">
      <pivotArea dataOnly="0" labelOnly="1" fieldPosition="0">
        <references count="1">
          <reference field="2" count="1">
            <x v="18"/>
          </reference>
        </references>
      </pivotArea>
    </format>
    <format dxfId="23">
      <pivotArea collapsedLevelsAreSubtotals="1" fieldPosition="0">
        <references count="1">
          <reference field="2" count="7">
            <x v="16"/>
            <x v="17"/>
            <x v="19"/>
            <x v="20"/>
            <x v="21"/>
            <x v="22"/>
            <x v="23"/>
          </reference>
        </references>
      </pivotArea>
    </format>
    <format dxfId="22">
      <pivotArea dataOnly="0" labelOnly="1" fieldPosition="0">
        <references count="1">
          <reference field="2" count="7">
            <x v="16"/>
            <x v="17"/>
            <x v="19"/>
            <x v="20"/>
            <x v="21"/>
            <x v="22"/>
            <x v="23"/>
          </reference>
        </references>
      </pivotArea>
    </format>
    <format dxfId="21">
      <pivotArea collapsedLevelsAreSubtotals="1" fieldPosition="0">
        <references count="1">
          <reference field="2" count="9">
            <x v="4"/>
            <x v="5"/>
            <x v="10"/>
            <x v="12"/>
            <x v="13"/>
            <x v="14"/>
            <x v="15"/>
            <x v="24"/>
            <x v="25"/>
          </reference>
        </references>
      </pivotArea>
    </format>
    <format dxfId="20">
      <pivotArea dataOnly="0" labelOnly="1" fieldPosition="0">
        <references count="1">
          <reference field="2" count="9">
            <x v="4"/>
            <x v="5"/>
            <x v="10"/>
            <x v="12"/>
            <x v="13"/>
            <x v="14"/>
            <x v="15"/>
            <x v="24"/>
            <x v="25"/>
          </reference>
        </references>
      </pivotArea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field="2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2" type="button" dataOnly="0" labelOnly="1" outline="0" axis="axisRow" fieldPosition="0"/>
    </format>
    <format dxfId="12">
      <pivotArea dataOnly="0" labelOnly="1" fieldPosition="0">
        <references count="1">
          <reference field="2" count="0"/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">
      <pivotArea collapsedLevelsAreSubtotals="1" fieldPosition="0">
        <references count="1">
          <reference field="2" count="9">
            <x v="4"/>
            <x v="5"/>
            <x v="10"/>
            <x v="12"/>
            <x v="13"/>
            <x v="14"/>
            <x v="15"/>
            <x v="24"/>
            <x v="25"/>
          </reference>
        </references>
      </pivotArea>
    </format>
    <format dxfId="6">
      <pivotArea dataOnly="0" labelOnly="1" fieldPosition="0">
        <references count="1">
          <reference field="2" count="9">
            <x v="4"/>
            <x v="5"/>
            <x v="10"/>
            <x v="12"/>
            <x v="13"/>
            <x v="14"/>
            <x v="15"/>
            <x v="24"/>
            <x v="2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14719-3B4B-4466-ADBB-56AF47DC16E2}">
  <dimension ref="A3:H40"/>
  <sheetViews>
    <sheetView zoomScale="85" zoomScaleNormal="85" workbookViewId="0">
      <selection activeCell="A4" sqref="A4:A21"/>
    </sheetView>
  </sheetViews>
  <sheetFormatPr baseColWidth="10" defaultRowHeight="12" x14ac:dyDescent="0.3"/>
  <cols>
    <col min="1" max="1" width="30.7265625" style="26" bestFit="1" customWidth="1"/>
    <col min="2" max="2" width="15.54296875" style="28" bestFit="1" customWidth="1"/>
    <col min="3" max="3" width="15.6328125" style="26" bestFit="1" customWidth="1"/>
    <col min="4" max="5" width="11.36328125" style="26" bestFit="1" customWidth="1"/>
    <col min="6" max="6" width="14" style="26" bestFit="1" customWidth="1"/>
    <col min="7" max="7" width="12.6328125" style="26" bestFit="1" customWidth="1"/>
    <col min="8" max="16384" width="10.90625" style="26"/>
  </cols>
  <sheetData>
    <row r="3" spans="1:6" x14ac:dyDescent="0.3">
      <c r="A3" s="39" t="s">
        <v>36</v>
      </c>
      <c r="B3" s="39" t="s">
        <v>38</v>
      </c>
      <c r="C3" s="41" t="s">
        <v>77</v>
      </c>
      <c r="D3" s="22" t="s">
        <v>41</v>
      </c>
      <c r="E3" s="22" t="s">
        <v>42</v>
      </c>
      <c r="F3" s="22" t="s">
        <v>43</v>
      </c>
    </row>
    <row r="4" spans="1:6" x14ac:dyDescent="0.3">
      <c r="A4" s="40" t="s">
        <v>15</v>
      </c>
      <c r="B4" s="13">
        <v>25</v>
      </c>
      <c r="C4" s="41">
        <v>87661333</v>
      </c>
      <c r="D4" s="14">
        <f>+C4*0.42</f>
        <v>36817759.859999999</v>
      </c>
      <c r="E4" s="14">
        <v>0</v>
      </c>
      <c r="F4" s="42">
        <f>+E4/C4</f>
        <v>0</v>
      </c>
    </row>
    <row r="5" spans="1:6" x14ac:dyDescent="0.3">
      <c r="A5" s="40" t="s">
        <v>18</v>
      </c>
      <c r="B5" s="13">
        <v>24</v>
      </c>
      <c r="C5" s="41">
        <v>87646184</v>
      </c>
      <c r="D5" s="14">
        <f t="shared" ref="D5:D31" si="0">+C5*0.42</f>
        <v>36811397.280000001</v>
      </c>
      <c r="E5" s="14">
        <v>0</v>
      </c>
      <c r="F5" s="42">
        <f t="shared" ref="F5:F31" si="1">+E5/C5</f>
        <v>0</v>
      </c>
    </row>
    <row r="6" spans="1:6" x14ac:dyDescent="0.3">
      <c r="A6" s="40" t="s">
        <v>16</v>
      </c>
      <c r="B6" s="13">
        <v>18</v>
      </c>
      <c r="C6" s="41">
        <v>87642293</v>
      </c>
      <c r="D6" s="14">
        <f t="shared" si="0"/>
        <v>36809763.059999995</v>
      </c>
      <c r="E6" s="14">
        <v>0</v>
      </c>
      <c r="F6" s="42">
        <f t="shared" si="1"/>
        <v>0</v>
      </c>
    </row>
    <row r="7" spans="1:6" x14ac:dyDescent="0.3">
      <c r="A7" s="40" t="s">
        <v>20</v>
      </c>
      <c r="B7" s="13">
        <v>25</v>
      </c>
      <c r="C7" s="41">
        <v>87634428</v>
      </c>
      <c r="D7" s="14">
        <f t="shared" si="0"/>
        <v>36806459.759999998</v>
      </c>
      <c r="E7" s="14">
        <v>0</v>
      </c>
      <c r="F7" s="42">
        <f t="shared" si="1"/>
        <v>0</v>
      </c>
    </row>
    <row r="8" spans="1:6" x14ac:dyDescent="0.3">
      <c r="A8" s="40" t="s">
        <v>25</v>
      </c>
      <c r="B8" s="13">
        <v>25</v>
      </c>
      <c r="C8" s="41">
        <v>87617370</v>
      </c>
      <c r="D8" s="14">
        <f t="shared" si="0"/>
        <v>36799295.399999999</v>
      </c>
      <c r="E8" s="14">
        <v>3303613</v>
      </c>
      <c r="F8" s="42">
        <f t="shared" si="1"/>
        <v>3.7705000732160758E-2</v>
      </c>
    </row>
    <row r="9" spans="1:6" x14ac:dyDescent="0.3">
      <c r="A9" s="40" t="s">
        <v>27</v>
      </c>
      <c r="B9" s="13">
        <v>25</v>
      </c>
      <c r="C9" s="41">
        <v>87590185</v>
      </c>
      <c r="D9" s="14">
        <f t="shared" si="0"/>
        <v>36787877.699999996</v>
      </c>
      <c r="E9" s="14">
        <v>0</v>
      </c>
      <c r="F9" s="42">
        <f t="shared" si="1"/>
        <v>0</v>
      </c>
    </row>
    <row r="10" spans="1:6" x14ac:dyDescent="0.3">
      <c r="A10" s="40" t="s">
        <v>17</v>
      </c>
      <c r="B10" s="13">
        <v>25</v>
      </c>
      <c r="C10" s="41">
        <v>87569897</v>
      </c>
      <c r="D10" s="14">
        <f t="shared" si="0"/>
        <v>36779356.740000002</v>
      </c>
      <c r="E10" s="14">
        <v>0</v>
      </c>
      <c r="F10" s="42">
        <f t="shared" si="1"/>
        <v>0</v>
      </c>
    </row>
    <row r="11" spans="1:6" x14ac:dyDescent="0.3">
      <c r="A11" s="40" t="s">
        <v>11</v>
      </c>
      <c r="B11" s="13">
        <v>25</v>
      </c>
      <c r="C11" s="41">
        <v>87551156</v>
      </c>
      <c r="D11" s="43">
        <f t="shared" si="0"/>
        <v>36771485.519999996</v>
      </c>
      <c r="E11" s="14">
        <v>7741780</v>
      </c>
      <c r="F11" s="42">
        <f t="shared" si="1"/>
        <v>8.8425788461319682E-2</v>
      </c>
    </row>
    <row r="12" spans="1:6" x14ac:dyDescent="0.3">
      <c r="A12" s="40" t="s">
        <v>24</v>
      </c>
      <c r="B12" s="13">
        <v>24</v>
      </c>
      <c r="C12" s="41">
        <v>87524331</v>
      </c>
      <c r="D12" s="43">
        <f t="shared" si="0"/>
        <v>36760219.019999996</v>
      </c>
      <c r="E12" s="14">
        <v>0</v>
      </c>
      <c r="F12" s="42">
        <f t="shared" si="1"/>
        <v>0</v>
      </c>
    </row>
    <row r="13" spans="1:6" x14ac:dyDescent="0.3">
      <c r="A13" s="40" t="s">
        <v>19</v>
      </c>
      <c r="B13" s="13">
        <v>25</v>
      </c>
      <c r="C13" s="41">
        <v>87524276</v>
      </c>
      <c r="D13" s="43">
        <f t="shared" si="0"/>
        <v>36760195.920000002</v>
      </c>
      <c r="E13" s="14">
        <v>830530</v>
      </c>
      <c r="F13" s="42">
        <f t="shared" si="1"/>
        <v>9.4891387619133235E-3</v>
      </c>
    </row>
    <row r="14" spans="1:6" x14ac:dyDescent="0.3">
      <c r="A14" s="40" t="s">
        <v>23</v>
      </c>
      <c r="B14" s="13">
        <v>25</v>
      </c>
      <c r="C14" s="41">
        <v>87520577</v>
      </c>
      <c r="D14" s="43">
        <f t="shared" si="0"/>
        <v>36758642.339999996</v>
      </c>
      <c r="E14" s="14">
        <v>0</v>
      </c>
      <c r="F14" s="42">
        <f t="shared" si="1"/>
        <v>0</v>
      </c>
    </row>
    <row r="15" spans="1:6" x14ac:dyDescent="0.3">
      <c r="A15" s="40" t="s">
        <v>21</v>
      </c>
      <c r="B15" s="13">
        <v>22</v>
      </c>
      <c r="C15" s="41">
        <v>87518575</v>
      </c>
      <c r="D15" s="43">
        <f t="shared" si="0"/>
        <v>36757801.5</v>
      </c>
      <c r="E15" s="14">
        <v>0</v>
      </c>
      <c r="F15" s="42">
        <f t="shared" si="1"/>
        <v>0</v>
      </c>
    </row>
    <row r="16" spans="1:6" x14ac:dyDescent="0.3">
      <c r="A16" s="40" t="s">
        <v>13</v>
      </c>
      <c r="B16" s="13">
        <v>26</v>
      </c>
      <c r="C16" s="41">
        <v>87516692</v>
      </c>
      <c r="D16" s="43">
        <f t="shared" si="0"/>
        <v>36757010.640000001</v>
      </c>
      <c r="E16" s="14">
        <v>0</v>
      </c>
      <c r="F16" s="42">
        <f t="shared" si="1"/>
        <v>0</v>
      </c>
    </row>
    <row r="17" spans="1:8" x14ac:dyDescent="0.3">
      <c r="A17" s="40" t="s">
        <v>9</v>
      </c>
      <c r="B17" s="13">
        <v>25</v>
      </c>
      <c r="C17" s="41">
        <v>87508403</v>
      </c>
      <c r="D17" s="43">
        <f t="shared" si="0"/>
        <v>36753529.259999998</v>
      </c>
      <c r="E17" s="14">
        <v>3854600</v>
      </c>
      <c r="F17" s="42">
        <f t="shared" si="1"/>
        <v>4.4048341277579936E-2</v>
      </c>
    </row>
    <row r="18" spans="1:8" x14ac:dyDescent="0.3">
      <c r="A18" s="40" t="s">
        <v>22</v>
      </c>
      <c r="B18" s="13">
        <v>26</v>
      </c>
      <c r="C18" s="41">
        <v>87504493</v>
      </c>
      <c r="D18" s="43">
        <f t="shared" si="0"/>
        <v>36751887.059999995</v>
      </c>
      <c r="E18" s="14">
        <v>0</v>
      </c>
      <c r="F18" s="42">
        <f t="shared" si="1"/>
        <v>0</v>
      </c>
    </row>
    <row r="19" spans="1:8" x14ac:dyDescent="0.3">
      <c r="A19" s="40" t="s">
        <v>14</v>
      </c>
      <c r="B19" s="13">
        <v>25</v>
      </c>
      <c r="C19" s="41">
        <v>87500294</v>
      </c>
      <c r="D19" s="14">
        <f t="shared" si="0"/>
        <v>36750123.479999997</v>
      </c>
      <c r="E19" s="14">
        <v>1900000</v>
      </c>
      <c r="F19" s="42">
        <f t="shared" si="1"/>
        <v>2.1714212754530858E-2</v>
      </c>
    </row>
    <row r="20" spans="1:8" x14ac:dyDescent="0.3">
      <c r="A20" s="40" t="s">
        <v>65</v>
      </c>
      <c r="B20" s="13">
        <v>21</v>
      </c>
      <c r="C20" s="41">
        <v>87496507</v>
      </c>
      <c r="D20" s="14">
        <f t="shared" si="0"/>
        <v>36748532.939999998</v>
      </c>
      <c r="E20" s="14">
        <v>2131310</v>
      </c>
      <c r="F20" s="42">
        <f t="shared" si="1"/>
        <v>2.4358800974763485E-2</v>
      </c>
    </row>
    <row r="21" spans="1:8" x14ac:dyDescent="0.3">
      <c r="A21" s="40" t="s">
        <v>26</v>
      </c>
      <c r="B21" s="13">
        <v>20</v>
      </c>
      <c r="C21" s="41">
        <v>87487986</v>
      </c>
      <c r="D21" s="14">
        <f t="shared" si="0"/>
        <v>36744954.119999997</v>
      </c>
      <c r="E21" s="14">
        <v>3759120</v>
      </c>
      <c r="F21" s="42">
        <f t="shared" si="1"/>
        <v>4.2967270957637541E-2</v>
      </c>
    </row>
    <row r="22" spans="1:8" x14ac:dyDescent="0.3">
      <c r="A22" s="44" t="s">
        <v>34</v>
      </c>
      <c r="B22" s="57">
        <v>10</v>
      </c>
      <c r="C22" s="45">
        <v>11343885</v>
      </c>
      <c r="D22" s="46">
        <f t="shared" si="0"/>
        <v>4764431.7</v>
      </c>
      <c r="E22" s="51">
        <v>0</v>
      </c>
      <c r="F22" s="55">
        <f t="shared" si="1"/>
        <v>0</v>
      </c>
    </row>
    <row r="23" spans="1:8" x14ac:dyDescent="0.3">
      <c r="A23" s="44" t="s">
        <v>32</v>
      </c>
      <c r="B23" s="57">
        <v>10</v>
      </c>
      <c r="C23" s="45">
        <v>11331297</v>
      </c>
      <c r="D23" s="46">
        <f t="shared" si="0"/>
        <v>4759144.74</v>
      </c>
      <c r="E23" s="51">
        <v>0</v>
      </c>
      <c r="F23" s="55">
        <f t="shared" si="1"/>
        <v>0</v>
      </c>
    </row>
    <row r="24" spans="1:8" x14ac:dyDescent="0.3">
      <c r="A24" s="44" t="s">
        <v>30</v>
      </c>
      <c r="B24" s="57">
        <v>10</v>
      </c>
      <c r="C24" s="45">
        <v>11056275</v>
      </c>
      <c r="D24" s="46">
        <f t="shared" si="0"/>
        <v>4643635.5</v>
      </c>
      <c r="E24" s="51">
        <v>0</v>
      </c>
      <c r="F24" s="55">
        <f t="shared" si="1"/>
        <v>0</v>
      </c>
    </row>
    <row r="25" spans="1:8" x14ac:dyDescent="0.3">
      <c r="A25" s="44" t="s">
        <v>29</v>
      </c>
      <c r="B25" s="57">
        <v>10</v>
      </c>
      <c r="C25" s="45">
        <v>10634377</v>
      </c>
      <c r="D25" s="46">
        <f t="shared" si="0"/>
        <v>4466438.34</v>
      </c>
      <c r="E25" s="51">
        <v>0</v>
      </c>
      <c r="F25" s="55">
        <f t="shared" si="1"/>
        <v>0</v>
      </c>
    </row>
    <row r="26" spans="1:8" x14ac:dyDescent="0.3">
      <c r="A26" s="44" t="s">
        <v>56</v>
      </c>
      <c r="B26" s="57">
        <v>8</v>
      </c>
      <c r="C26" s="45">
        <v>8556942</v>
      </c>
      <c r="D26" s="46">
        <f t="shared" si="0"/>
        <v>3593915.6399999997</v>
      </c>
      <c r="E26" s="51">
        <v>0</v>
      </c>
      <c r="F26" s="55">
        <f t="shared" si="1"/>
        <v>0</v>
      </c>
    </row>
    <row r="27" spans="1:8" x14ac:dyDescent="0.3">
      <c r="A27" s="44" t="s">
        <v>35</v>
      </c>
      <c r="B27" s="57">
        <v>6</v>
      </c>
      <c r="C27" s="45">
        <v>8089034</v>
      </c>
      <c r="D27" s="46">
        <f t="shared" si="0"/>
        <v>3397394.28</v>
      </c>
      <c r="E27" s="51">
        <v>0</v>
      </c>
      <c r="F27" s="55">
        <f t="shared" si="1"/>
        <v>0</v>
      </c>
    </row>
    <row r="28" spans="1:8" x14ac:dyDescent="0.3">
      <c r="A28" s="44" t="s">
        <v>55</v>
      </c>
      <c r="B28" s="57">
        <v>7</v>
      </c>
      <c r="C28" s="45">
        <v>7485530</v>
      </c>
      <c r="D28" s="46">
        <f t="shared" si="0"/>
        <v>3143922.6</v>
      </c>
      <c r="E28" s="51">
        <v>0</v>
      </c>
      <c r="F28" s="55">
        <f t="shared" si="1"/>
        <v>0</v>
      </c>
    </row>
    <row r="29" spans="1:8" x14ac:dyDescent="0.3">
      <c r="A29" s="44" t="s">
        <v>33</v>
      </c>
      <c r="B29" s="57">
        <v>9</v>
      </c>
      <c r="C29" s="45">
        <v>5874947</v>
      </c>
      <c r="D29" s="46">
        <f t="shared" si="0"/>
        <v>2467477.7399999998</v>
      </c>
      <c r="E29" s="51">
        <v>0</v>
      </c>
      <c r="F29" s="55">
        <f t="shared" si="1"/>
        <v>0</v>
      </c>
    </row>
    <row r="30" spans="1:8" x14ac:dyDescent="0.3">
      <c r="A30" s="44" t="s">
        <v>31</v>
      </c>
      <c r="B30" s="57">
        <v>9</v>
      </c>
      <c r="C30" s="45">
        <v>5105143</v>
      </c>
      <c r="D30" s="46">
        <f t="shared" si="0"/>
        <v>2144160.06</v>
      </c>
      <c r="E30" s="51">
        <v>0</v>
      </c>
      <c r="F30" s="55">
        <f t="shared" si="1"/>
        <v>0</v>
      </c>
    </row>
    <row r="31" spans="1:8" x14ac:dyDescent="0.3">
      <c r="A31" s="47" t="s">
        <v>37</v>
      </c>
      <c r="B31" s="39">
        <v>510</v>
      </c>
      <c r="C31" s="48">
        <v>1655492410</v>
      </c>
      <c r="D31" s="49">
        <f t="shared" si="0"/>
        <v>695306812.19999993</v>
      </c>
      <c r="E31" s="49">
        <v>23520953</v>
      </c>
      <c r="F31" s="42">
        <f t="shared" si="1"/>
        <v>1.4207828956461359E-2</v>
      </c>
      <c r="G31" s="53">
        <v>0.42</v>
      </c>
      <c r="H31" s="54">
        <f>G31-F31</f>
        <v>0.40579217104353865</v>
      </c>
    </row>
    <row r="35" spans="1:3" x14ac:dyDescent="0.3">
      <c r="A35" s="50" t="s">
        <v>39</v>
      </c>
      <c r="B35" s="14" t="e">
        <f>+GETPIVOTDATA("Suma de VLR PRIMER PAGO",$A$3)*0.42</f>
        <v>#REF!</v>
      </c>
      <c r="C35" s="28"/>
    </row>
    <row r="36" spans="1:3" x14ac:dyDescent="0.3">
      <c r="A36" s="50" t="s">
        <v>40</v>
      </c>
      <c r="B36" s="14">
        <f>+C31/22</f>
        <v>75249655</v>
      </c>
    </row>
    <row r="37" spans="1:3" x14ac:dyDescent="0.3">
      <c r="A37" s="50" t="s">
        <v>44</v>
      </c>
      <c r="B37" s="14" t="e">
        <f>E31/GETPIVOTDATA("Suma de VLR PRIMER PAGO",$A$3)</f>
        <v>#REF!</v>
      </c>
    </row>
    <row r="38" spans="1:3" x14ac:dyDescent="0.3">
      <c r="A38" s="50" t="s">
        <v>42</v>
      </c>
      <c r="B38" s="14">
        <f>+E31</f>
        <v>23520953</v>
      </c>
    </row>
    <row r="39" spans="1:3" x14ac:dyDescent="0.3">
      <c r="A39" s="50" t="s">
        <v>45</v>
      </c>
      <c r="B39" s="14" t="e">
        <f>+B35-B38</f>
        <v>#REF!</v>
      </c>
    </row>
    <row r="40" spans="1:3" x14ac:dyDescent="0.3">
      <c r="A40" s="50" t="s">
        <v>75</v>
      </c>
      <c r="B40" s="14">
        <f>C31/100*1</f>
        <v>16554924.1</v>
      </c>
    </row>
  </sheetData>
  <conditionalFormatting sqref="F4:F31">
    <cfRule type="iconSet" priority="30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B338C-89DB-4C7B-BC8B-CC0CAF56BE0F}">
  <dimension ref="A1:Q511"/>
  <sheetViews>
    <sheetView tabSelected="1" topLeftCell="B1" workbookViewId="0">
      <selection activeCell="L10" sqref="L10"/>
    </sheetView>
  </sheetViews>
  <sheetFormatPr baseColWidth="10" defaultColWidth="13.453125" defaultRowHeight="12" x14ac:dyDescent="0.3"/>
  <cols>
    <col min="1" max="1" width="0" style="12" hidden="1" customWidth="1"/>
    <col min="2" max="2" width="13.453125" style="12"/>
    <col min="3" max="3" width="0" style="12" hidden="1" customWidth="1"/>
    <col min="4" max="4" width="30.7265625" style="15" bestFit="1" customWidth="1"/>
    <col min="5" max="5" width="0" style="16" hidden="1" customWidth="1"/>
    <col min="6" max="7" width="0" style="17" hidden="1" customWidth="1"/>
    <col min="8" max="8" width="0" style="12" hidden="1" customWidth="1"/>
    <col min="9" max="9" width="13.453125" style="56"/>
    <col min="10" max="11" width="13.453125" style="12"/>
    <col min="12" max="12" width="21.453125" style="12" bestFit="1" customWidth="1"/>
    <col min="13" max="13" width="12.90625" style="12" bestFit="1" customWidth="1"/>
    <col min="14" max="16384" width="13.453125" style="12"/>
  </cols>
  <sheetData>
    <row r="1" spans="1:17" x14ac:dyDescent="0.3">
      <c r="A1" s="11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46</v>
      </c>
      <c r="I1" s="59" t="s">
        <v>47</v>
      </c>
      <c r="J1" s="59" t="s">
        <v>48</v>
      </c>
      <c r="K1" s="59" t="s">
        <v>49</v>
      </c>
      <c r="L1" s="59" t="s">
        <v>71</v>
      </c>
      <c r="M1" s="59" t="s">
        <v>88</v>
      </c>
      <c r="N1" s="59" t="s">
        <v>80</v>
      </c>
      <c r="O1" s="59" t="s">
        <v>81</v>
      </c>
      <c r="P1" s="59" t="s">
        <v>86</v>
      </c>
      <c r="Q1" s="59" t="s">
        <v>89</v>
      </c>
    </row>
    <row r="2" spans="1:17" x14ac:dyDescent="0.3">
      <c r="A2" s="13">
        <v>2025072901</v>
      </c>
      <c r="B2" s="60">
        <v>4811723</v>
      </c>
      <c r="C2" s="13" t="s">
        <v>8</v>
      </c>
      <c r="D2" s="13" t="s">
        <v>16</v>
      </c>
      <c r="E2" s="13">
        <v>1019115964</v>
      </c>
      <c r="F2" s="13">
        <v>23410</v>
      </c>
      <c r="G2" s="13" t="s">
        <v>10</v>
      </c>
      <c r="H2" s="13">
        <v>97</v>
      </c>
      <c r="I2" s="14">
        <v>55610946</v>
      </c>
      <c r="J2" s="52">
        <v>45922</v>
      </c>
      <c r="K2" s="21" t="s">
        <v>82</v>
      </c>
      <c r="L2" s="21"/>
      <c r="M2" s="21" t="e">
        <f>VLOOKUP(B:B,#REF!,1,0)</f>
        <v>#REF!</v>
      </c>
      <c r="N2" s="21">
        <v>4811723</v>
      </c>
      <c r="O2" s="21">
        <v>4811723</v>
      </c>
      <c r="P2" s="21">
        <v>4811723</v>
      </c>
      <c r="Q2" s="21"/>
    </row>
    <row r="3" spans="1:17" x14ac:dyDescent="0.3">
      <c r="A3" s="13">
        <v>2025071990</v>
      </c>
      <c r="B3" s="60">
        <v>11504910</v>
      </c>
      <c r="C3" s="13" t="s">
        <v>8</v>
      </c>
      <c r="D3" s="13" t="s">
        <v>26</v>
      </c>
      <c r="E3" s="13">
        <v>1018439309</v>
      </c>
      <c r="F3" s="13">
        <v>23384</v>
      </c>
      <c r="G3" s="13" t="s">
        <v>10</v>
      </c>
      <c r="H3" s="13">
        <v>15069</v>
      </c>
      <c r="I3" s="14">
        <v>47600000</v>
      </c>
      <c r="J3" s="52">
        <v>45922</v>
      </c>
      <c r="K3" s="21" t="s">
        <v>78</v>
      </c>
      <c r="L3" s="21" t="s">
        <v>83</v>
      </c>
      <c r="M3" s="21" t="e">
        <f>VLOOKUP(B:B,#REF!,1,0)</f>
        <v>#REF!</v>
      </c>
      <c r="N3" s="21">
        <v>11504910</v>
      </c>
      <c r="O3" s="21">
        <v>11504910</v>
      </c>
      <c r="P3" s="21">
        <v>11504910</v>
      </c>
      <c r="Q3" s="21"/>
    </row>
    <row r="4" spans="1:17" x14ac:dyDescent="0.3">
      <c r="A4" s="13">
        <v>2025072723</v>
      </c>
      <c r="B4" s="60">
        <v>11590578</v>
      </c>
      <c r="C4" s="13" t="s">
        <v>8</v>
      </c>
      <c r="D4" s="13" t="s">
        <v>65</v>
      </c>
      <c r="E4" s="13">
        <v>1000338067</v>
      </c>
      <c r="F4" s="13">
        <v>24433</v>
      </c>
      <c r="G4" s="13" t="s">
        <v>10</v>
      </c>
      <c r="H4" s="13">
        <v>11394</v>
      </c>
      <c r="I4" s="14">
        <v>47600000</v>
      </c>
      <c r="J4" s="52">
        <v>45922</v>
      </c>
      <c r="K4" s="21" t="s">
        <v>79</v>
      </c>
      <c r="L4" s="21" t="s">
        <v>84</v>
      </c>
      <c r="M4" s="21" t="e">
        <f>VLOOKUP(B:B,#REF!,1,0)</f>
        <v>#REF!</v>
      </c>
      <c r="N4" s="21">
        <v>11590578</v>
      </c>
      <c r="O4" s="21">
        <v>11590578</v>
      </c>
      <c r="P4" s="21">
        <v>11590578</v>
      </c>
      <c r="Q4" s="21"/>
    </row>
    <row r="5" spans="1:17" x14ac:dyDescent="0.3">
      <c r="A5" s="13">
        <v>2025074653</v>
      </c>
      <c r="B5" s="60">
        <v>5226024</v>
      </c>
      <c r="C5" s="13" t="s">
        <v>8</v>
      </c>
      <c r="D5" s="13" t="s">
        <v>21</v>
      </c>
      <c r="E5" s="13">
        <v>1000727404</v>
      </c>
      <c r="F5" s="13">
        <v>24436</v>
      </c>
      <c r="G5" s="13" t="s">
        <v>10</v>
      </c>
      <c r="H5" s="13">
        <v>13078</v>
      </c>
      <c r="I5" s="14">
        <v>39124834</v>
      </c>
      <c r="J5" s="52">
        <v>45922</v>
      </c>
      <c r="K5" s="21" t="s">
        <v>67</v>
      </c>
      <c r="L5" s="21"/>
      <c r="M5" s="21" t="e">
        <f>VLOOKUP(B:B,#REF!,1,0)</f>
        <v>#REF!</v>
      </c>
      <c r="N5" s="21">
        <v>5226024</v>
      </c>
      <c r="O5" s="21">
        <v>5226024</v>
      </c>
      <c r="P5" s="21">
        <v>5226024</v>
      </c>
      <c r="Q5" s="21"/>
    </row>
    <row r="6" spans="1:17" x14ac:dyDescent="0.3">
      <c r="A6" s="13">
        <v>2025075649</v>
      </c>
      <c r="B6" s="60">
        <v>7544057</v>
      </c>
      <c r="C6" s="13" t="s">
        <v>8</v>
      </c>
      <c r="D6" s="13" t="s">
        <v>23</v>
      </c>
      <c r="E6" s="13">
        <v>1015449218</v>
      </c>
      <c r="F6" s="13">
        <v>24438</v>
      </c>
      <c r="G6" s="13" t="s">
        <v>10</v>
      </c>
      <c r="H6" s="13">
        <v>200</v>
      </c>
      <c r="I6" s="14">
        <v>27307980</v>
      </c>
      <c r="J6" s="52">
        <v>45924</v>
      </c>
      <c r="K6" s="21" t="s">
        <v>87</v>
      </c>
      <c r="L6" s="21"/>
      <c r="M6" s="21" t="e">
        <f>VLOOKUP(B:B,#REF!,1,0)</f>
        <v>#REF!</v>
      </c>
      <c r="N6" s="21">
        <v>7544057</v>
      </c>
      <c r="O6" s="21">
        <v>7544057</v>
      </c>
      <c r="P6" s="21">
        <v>7544057</v>
      </c>
      <c r="Q6" s="21"/>
    </row>
    <row r="7" spans="1:17" x14ac:dyDescent="0.3">
      <c r="A7" s="13">
        <v>2025073641</v>
      </c>
      <c r="B7" s="60">
        <v>7584800</v>
      </c>
      <c r="C7" s="13" t="s">
        <v>8</v>
      </c>
      <c r="D7" s="13" t="s">
        <v>14</v>
      </c>
      <c r="E7" s="13">
        <v>1033685482</v>
      </c>
      <c r="F7" s="13">
        <v>24441</v>
      </c>
      <c r="G7" s="13" t="s">
        <v>10</v>
      </c>
      <c r="H7" s="13">
        <v>760</v>
      </c>
      <c r="I7" s="14">
        <v>26310880</v>
      </c>
      <c r="J7" s="52">
        <v>45922</v>
      </c>
      <c r="K7" s="21" t="s">
        <v>66</v>
      </c>
      <c r="L7" s="21"/>
      <c r="M7" s="21" t="e">
        <f>VLOOKUP(B:B,#REF!,1,0)</f>
        <v>#REF!</v>
      </c>
      <c r="N7" s="21">
        <v>7584800</v>
      </c>
      <c r="O7" s="21">
        <v>7584800</v>
      </c>
      <c r="P7" s="21">
        <v>7584800</v>
      </c>
      <c r="Q7" s="21"/>
    </row>
    <row r="8" spans="1:17" x14ac:dyDescent="0.3">
      <c r="A8" s="13">
        <v>2025078316</v>
      </c>
      <c r="B8" s="60">
        <v>7685996</v>
      </c>
      <c r="C8" s="13" t="s">
        <v>8</v>
      </c>
      <c r="D8" s="13" t="s">
        <v>24</v>
      </c>
      <c r="E8" s="13">
        <v>1138074284</v>
      </c>
      <c r="F8" s="13">
        <v>27172</v>
      </c>
      <c r="G8" s="13" t="s">
        <v>10</v>
      </c>
      <c r="H8" s="13">
        <v>10632</v>
      </c>
      <c r="I8" s="14">
        <v>25511562</v>
      </c>
      <c r="J8" s="52">
        <v>45922</v>
      </c>
      <c r="K8" s="21" t="s">
        <v>66</v>
      </c>
      <c r="L8" s="21"/>
      <c r="M8" s="21" t="e">
        <f>VLOOKUP(B:B,#REF!,1,0)</f>
        <v>#REF!</v>
      </c>
      <c r="N8" s="21">
        <v>7685996</v>
      </c>
      <c r="O8" s="21">
        <v>7685996</v>
      </c>
      <c r="P8" s="21">
        <v>7685996</v>
      </c>
      <c r="Q8" s="21"/>
    </row>
    <row r="9" spans="1:17" x14ac:dyDescent="0.3">
      <c r="A9" s="13">
        <v>2025073469</v>
      </c>
      <c r="B9" s="60">
        <v>6894325</v>
      </c>
      <c r="C9" s="13" t="s">
        <v>8</v>
      </c>
      <c r="D9" s="13" t="s">
        <v>18</v>
      </c>
      <c r="E9" s="13">
        <v>1032677388</v>
      </c>
      <c r="F9" s="13">
        <v>26623</v>
      </c>
      <c r="G9" s="13" t="s">
        <v>10</v>
      </c>
      <c r="H9" s="13">
        <v>13002</v>
      </c>
      <c r="I9" s="14">
        <v>24978404</v>
      </c>
      <c r="J9" s="52">
        <v>45922</v>
      </c>
      <c r="K9" s="21" t="s">
        <v>67</v>
      </c>
      <c r="L9" s="21"/>
      <c r="M9" s="21" t="e">
        <f>VLOOKUP(B:B,#REF!,1,0)</f>
        <v>#REF!</v>
      </c>
      <c r="N9" s="21">
        <v>6894325</v>
      </c>
      <c r="O9" s="21" t="e">
        <v>#N/A</v>
      </c>
      <c r="P9" s="21">
        <v>6894325</v>
      </c>
      <c r="Q9" s="21"/>
    </row>
    <row r="10" spans="1:17" x14ac:dyDescent="0.3">
      <c r="A10" s="13">
        <v>2025080831</v>
      </c>
      <c r="B10" s="60">
        <v>5853827</v>
      </c>
      <c r="C10" s="13" t="s">
        <v>8</v>
      </c>
      <c r="D10" s="13" t="s">
        <v>13</v>
      </c>
      <c r="E10" s="13">
        <v>52756032</v>
      </c>
      <c r="F10" s="13">
        <v>26668</v>
      </c>
      <c r="G10" s="13" t="s">
        <v>10</v>
      </c>
      <c r="H10" s="13">
        <v>14101</v>
      </c>
      <c r="I10" s="14">
        <v>22282376</v>
      </c>
      <c r="J10" s="52">
        <v>45922</v>
      </c>
      <c r="K10" s="21" t="s">
        <v>66</v>
      </c>
      <c r="L10" s="21"/>
      <c r="M10" s="21" t="e">
        <f>VLOOKUP(B:B,#REF!,1,0)</f>
        <v>#REF!</v>
      </c>
      <c r="N10" s="21">
        <v>5853827</v>
      </c>
      <c r="O10" s="21">
        <v>5853827</v>
      </c>
      <c r="P10" s="21">
        <v>5853827</v>
      </c>
      <c r="Q10" s="21"/>
    </row>
    <row r="11" spans="1:17" x14ac:dyDescent="0.3">
      <c r="A11" s="13">
        <v>2025075826</v>
      </c>
      <c r="B11" s="60">
        <v>7277213</v>
      </c>
      <c r="C11" s="13" t="s">
        <v>8</v>
      </c>
      <c r="D11" s="13" t="s">
        <v>20</v>
      </c>
      <c r="E11" s="13">
        <v>52837437</v>
      </c>
      <c r="F11" s="13">
        <v>26730</v>
      </c>
      <c r="G11" s="13" t="s">
        <v>10</v>
      </c>
      <c r="H11" s="13">
        <v>13016</v>
      </c>
      <c r="I11" s="14">
        <v>18786732</v>
      </c>
      <c r="J11" s="52">
        <v>45922</v>
      </c>
      <c r="K11" s="21" t="s">
        <v>66</v>
      </c>
      <c r="L11" s="21"/>
      <c r="M11" s="21" t="e">
        <f>VLOOKUP(B:B,#REF!,1,0)</f>
        <v>#REF!</v>
      </c>
      <c r="N11" s="21">
        <v>7277213</v>
      </c>
      <c r="O11" s="21">
        <v>7277213</v>
      </c>
      <c r="P11" s="21">
        <v>7277213</v>
      </c>
      <c r="Q11" s="21"/>
    </row>
    <row r="12" spans="1:17" x14ac:dyDescent="0.3">
      <c r="A12" s="13">
        <v>2025073459</v>
      </c>
      <c r="B12" s="60">
        <v>5662966</v>
      </c>
      <c r="C12" s="13" t="s">
        <v>8</v>
      </c>
      <c r="D12" s="13" t="s">
        <v>25</v>
      </c>
      <c r="E12" s="13">
        <v>1002525594</v>
      </c>
      <c r="F12" s="13">
        <v>26731</v>
      </c>
      <c r="G12" s="13" t="s">
        <v>10</v>
      </c>
      <c r="H12" s="13">
        <v>13006</v>
      </c>
      <c r="I12" s="14">
        <v>18770171</v>
      </c>
      <c r="J12" s="52">
        <v>45922</v>
      </c>
      <c r="K12" s="21" t="s">
        <v>67</v>
      </c>
      <c r="L12" s="21"/>
      <c r="M12" s="21" t="e">
        <f>VLOOKUP(B:B,#REF!,1,0)</f>
        <v>#REF!</v>
      </c>
      <c r="N12" s="21">
        <v>5662966</v>
      </c>
      <c r="O12" s="21" t="e">
        <v>#N/A</v>
      </c>
      <c r="P12" s="21" t="e">
        <v>#N/A</v>
      </c>
      <c r="Q12" s="21"/>
    </row>
    <row r="13" spans="1:17" x14ac:dyDescent="0.3">
      <c r="A13" s="13">
        <v>2025079859</v>
      </c>
      <c r="B13" s="60">
        <v>10623219</v>
      </c>
      <c r="C13" s="13" t="s">
        <v>8</v>
      </c>
      <c r="D13" s="13" t="s">
        <v>15</v>
      </c>
      <c r="E13" s="13">
        <v>1012434013</v>
      </c>
      <c r="F13" s="13">
        <v>26735</v>
      </c>
      <c r="G13" s="13" t="s">
        <v>10</v>
      </c>
      <c r="H13" s="13">
        <v>11121</v>
      </c>
      <c r="I13" s="14">
        <v>18612896</v>
      </c>
      <c r="J13" s="52">
        <v>45922</v>
      </c>
      <c r="K13" s="21" t="s">
        <v>67</v>
      </c>
      <c r="L13" s="21"/>
      <c r="M13" s="21" t="e">
        <f>VLOOKUP(B:B,#REF!,1,0)</f>
        <v>#REF!</v>
      </c>
      <c r="N13" s="21">
        <v>10623219</v>
      </c>
      <c r="O13" s="21">
        <v>10623219</v>
      </c>
      <c r="P13" s="21">
        <v>10623219</v>
      </c>
      <c r="Q13" s="21"/>
    </row>
    <row r="14" spans="1:17" x14ac:dyDescent="0.3">
      <c r="A14" s="13">
        <v>2025079394</v>
      </c>
      <c r="B14" s="60">
        <v>5209744</v>
      </c>
      <c r="C14" s="13" t="s">
        <v>8</v>
      </c>
      <c r="D14" s="13" t="s">
        <v>27</v>
      </c>
      <c r="E14" s="13">
        <v>1000218098</v>
      </c>
      <c r="F14" s="13">
        <v>26786</v>
      </c>
      <c r="G14" s="13" t="s">
        <v>10</v>
      </c>
      <c r="H14" s="13">
        <v>14156</v>
      </c>
      <c r="I14" s="14">
        <v>18053364</v>
      </c>
      <c r="J14" s="52">
        <v>45922</v>
      </c>
      <c r="K14" s="21" t="s">
        <v>66</v>
      </c>
      <c r="L14" s="21"/>
      <c r="M14" s="21" t="e">
        <f>VLOOKUP(B:B,#REF!,1,0)</f>
        <v>#REF!</v>
      </c>
      <c r="N14" s="21">
        <v>5209744</v>
      </c>
      <c r="O14" s="21">
        <v>5209744</v>
      </c>
      <c r="P14" s="21">
        <v>5209744</v>
      </c>
      <c r="Q14" s="21"/>
    </row>
    <row r="15" spans="1:17" x14ac:dyDescent="0.3">
      <c r="A15" s="13">
        <v>2025079409</v>
      </c>
      <c r="B15" s="60">
        <v>11638449</v>
      </c>
      <c r="C15" s="13" t="s">
        <v>8</v>
      </c>
      <c r="D15" s="13" t="s">
        <v>9</v>
      </c>
      <c r="E15" s="13">
        <v>1001275619</v>
      </c>
      <c r="F15" s="13">
        <v>27063</v>
      </c>
      <c r="G15" s="13" t="s">
        <v>10</v>
      </c>
      <c r="H15" s="13">
        <v>10657</v>
      </c>
      <c r="I15" s="14">
        <v>18000000</v>
      </c>
      <c r="J15" s="52">
        <v>45922</v>
      </c>
      <c r="K15" s="21" t="s">
        <v>66</v>
      </c>
      <c r="L15" s="21"/>
      <c r="M15" s="21" t="e">
        <f>VLOOKUP(B:B,#REF!,1,0)</f>
        <v>#REF!</v>
      </c>
      <c r="N15" s="21">
        <v>11638449</v>
      </c>
      <c r="O15" s="21">
        <v>11638449</v>
      </c>
      <c r="P15" s="21">
        <v>11638449</v>
      </c>
      <c r="Q15" s="21"/>
    </row>
    <row r="16" spans="1:17" x14ac:dyDescent="0.3">
      <c r="A16" s="13">
        <v>2025075560</v>
      </c>
      <c r="B16" s="60">
        <v>6175817</v>
      </c>
      <c r="C16" s="13" t="s">
        <v>8</v>
      </c>
      <c r="D16" s="13" t="s">
        <v>11</v>
      </c>
      <c r="E16" s="13">
        <v>1016106935</v>
      </c>
      <c r="F16" s="13">
        <v>27064</v>
      </c>
      <c r="G16" s="13" t="s">
        <v>10</v>
      </c>
      <c r="H16" s="13">
        <v>200</v>
      </c>
      <c r="I16" s="14">
        <v>17949324</v>
      </c>
      <c r="J16" s="52">
        <v>45922</v>
      </c>
      <c r="K16" s="21" t="s">
        <v>66</v>
      </c>
      <c r="L16" s="21"/>
      <c r="M16" s="21" t="e">
        <f>VLOOKUP(B:B,#REF!,1,0)</f>
        <v>#REF!</v>
      </c>
      <c r="N16" s="21">
        <v>6175817</v>
      </c>
      <c r="O16" s="21">
        <v>6175817</v>
      </c>
      <c r="P16" s="21">
        <v>6175817</v>
      </c>
      <c r="Q16" s="21"/>
    </row>
    <row r="17" spans="1:17" x14ac:dyDescent="0.3">
      <c r="A17" s="13">
        <v>2025076804</v>
      </c>
      <c r="B17" s="60">
        <v>11642391</v>
      </c>
      <c r="C17" s="13" t="s">
        <v>8</v>
      </c>
      <c r="D17" s="13" t="s">
        <v>19</v>
      </c>
      <c r="E17" s="13">
        <v>1024593276</v>
      </c>
      <c r="F17" s="13">
        <v>27068</v>
      </c>
      <c r="G17" s="13" t="s">
        <v>10</v>
      </c>
      <c r="H17" s="13">
        <v>14005</v>
      </c>
      <c r="I17" s="14">
        <v>17850000</v>
      </c>
      <c r="J17" s="52">
        <v>45922</v>
      </c>
      <c r="K17" s="21" t="s">
        <v>66</v>
      </c>
      <c r="L17" s="21" t="s">
        <v>85</v>
      </c>
      <c r="M17" s="21" t="e">
        <f>VLOOKUP(B:B,#REF!,1,0)</f>
        <v>#REF!</v>
      </c>
      <c r="N17" s="21">
        <v>11642391</v>
      </c>
      <c r="O17" s="21">
        <v>11642391</v>
      </c>
      <c r="P17" s="21">
        <v>11642391</v>
      </c>
      <c r="Q17" s="21"/>
    </row>
    <row r="18" spans="1:17" x14ac:dyDescent="0.3">
      <c r="A18" s="13">
        <v>2025076037</v>
      </c>
      <c r="B18" s="60">
        <v>11599332</v>
      </c>
      <c r="C18" s="13" t="s">
        <v>8</v>
      </c>
      <c r="D18" s="13" t="s">
        <v>17</v>
      </c>
      <c r="E18" s="13">
        <v>1014284618</v>
      </c>
      <c r="F18" s="13">
        <v>27083</v>
      </c>
      <c r="G18" s="13" t="s">
        <v>10</v>
      </c>
      <c r="H18" s="13">
        <v>13111</v>
      </c>
      <c r="I18" s="14">
        <v>17740520</v>
      </c>
      <c r="J18" s="52">
        <v>45922</v>
      </c>
      <c r="K18" s="21" t="s">
        <v>67</v>
      </c>
      <c r="L18" s="21"/>
      <c r="M18" s="21" t="e">
        <f>VLOOKUP(B:B,#REF!,1,0)</f>
        <v>#REF!</v>
      </c>
      <c r="N18" s="21">
        <v>11599332</v>
      </c>
      <c r="O18" s="21">
        <v>11599332</v>
      </c>
      <c r="P18" s="21">
        <v>11599332</v>
      </c>
      <c r="Q18" s="21"/>
    </row>
    <row r="19" spans="1:17" x14ac:dyDescent="0.3">
      <c r="A19" s="13">
        <v>2025072215</v>
      </c>
      <c r="B19" s="60">
        <v>5758898</v>
      </c>
      <c r="C19" s="13" t="s">
        <v>8</v>
      </c>
      <c r="D19" s="13" t="s">
        <v>22</v>
      </c>
      <c r="E19" s="13">
        <v>1001116838</v>
      </c>
      <c r="F19" s="13">
        <v>27104</v>
      </c>
      <c r="G19" s="13" t="s">
        <v>10</v>
      </c>
      <c r="H19" s="13">
        <v>14023</v>
      </c>
      <c r="I19" s="14">
        <v>17374000</v>
      </c>
      <c r="J19" s="52">
        <v>45922</v>
      </c>
      <c r="K19" s="21" t="s">
        <v>66</v>
      </c>
      <c r="L19" s="21"/>
      <c r="M19" s="21" t="e">
        <f>VLOOKUP(B:B,#REF!,1,0)</f>
        <v>#REF!</v>
      </c>
      <c r="N19" s="21">
        <v>5758898</v>
      </c>
      <c r="O19" s="21">
        <v>5758898</v>
      </c>
      <c r="P19" s="21">
        <v>5758898</v>
      </c>
      <c r="Q19" s="21"/>
    </row>
    <row r="20" spans="1:17" x14ac:dyDescent="0.3">
      <c r="A20" s="13">
        <v>2025072908</v>
      </c>
      <c r="B20" s="13">
        <v>7678493</v>
      </c>
      <c r="C20" s="13" t="s">
        <v>8</v>
      </c>
      <c r="D20" s="13" t="s">
        <v>22</v>
      </c>
      <c r="E20" s="13">
        <v>1001116838</v>
      </c>
      <c r="F20" s="13">
        <v>27104</v>
      </c>
      <c r="G20" s="13" t="s">
        <v>10</v>
      </c>
      <c r="H20" s="13">
        <v>13274</v>
      </c>
      <c r="I20" s="14">
        <v>7843814</v>
      </c>
      <c r="J20" s="21"/>
      <c r="K20" s="21"/>
      <c r="L20" s="21"/>
      <c r="M20" s="21" t="e">
        <f>VLOOKUP(B:B,#REF!,1,0)</f>
        <v>#REF!</v>
      </c>
      <c r="N20" s="21">
        <v>7678493</v>
      </c>
      <c r="O20" s="21">
        <v>7678493</v>
      </c>
      <c r="P20" s="21">
        <v>7678493</v>
      </c>
      <c r="Q20" s="21"/>
    </row>
    <row r="21" spans="1:17" x14ac:dyDescent="0.3">
      <c r="A21" s="13">
        <v>2025079180</v>
      </c>
      <c r="B21" s="13">
        <v>5869735</v>
      </c>
      <c r="C21" s="13" t="s">
        <v>8</v>
      </c>
      <c r="D21" s="13" t="s">
        <v>17</v>
      </c>
      <c r="E21" s="13">
        <v>1014284618</v>
      </c>
      <c r="F21" s="13">
        <v>27083</v>
      </c>
      <c r="G21" s="13" t="s">
        <v>10</v>
      </c>
      <c r="H21" s="13">
        <v>11218</v>
      </c>
      <c r="I21" s="14">
        <v>7831862</v>
      </c>
      <c r="J21" s="21"/>
      <c r="K21" s="21"/>
      <c r="L21" s="21"/>
      <c r="M21" s="21" t="e">
        <f>VLOOKUP(B:B,#REF!,1,0)</f>
        <v>#REF!</v>
      </c>
      <c r="N21" s="21">
        <v>5869735</v>
      </c>
      <c r="O21" s="21">
        <v>5869735</v>
      </c>
      <c r="P21" s="21">
        <v>5869735</v>
      </c>
      <c r="Q21" s="21"/>
    </row>
    <row r="22" spans="1:17" x14ac:dyDescent="0.3">
      <c r="A22" s="13">
        <v>2025076009</v>
      </c>
      <c r="B22" s="13">
        <v>10548865</v>
      </c>
      <c r="C22" s="13" t="s">
        <v>8</v>
      </c>
      <c r="D22" s="13" t="s">
        <v>19</v>
      </c>
      <c r="E22" s="13">
        <v>1024593276</v>
      </c>
      <c r="F22" s="13">
        <v>27068</v>
      </c>
      <c r="G22" s="13" t="s">
        <v>10</v>
      </c>
      <c r="H22" s="13">
        <v>1410</v>
      </c>
      <c r="I22" s="14">
        <v>7775166</v>
      </c>
      <c r="J22" s="21"/>
      <c r="K22" s="21"/>
      <c r="L22" s="21"/>
      <c r="M22" s="21" t="e">
        <f>VLOOKUP(B:B,#REF!,1,0)</f>
        <v>#REF!</v>
      </c>
      <c r="N22" s="21">
        <v>10548865</v>
      </c>
      <c r="O22" s="21">
        <v>10548865</v>
      </c>
      <c r="P22" s="21">
        <v>10548865</v>
      </c>
      <c r="Q22" s="21"/>
    </row>
    <row r="23" spans="1:17" x14ac:dyDescent="0.3">
      <c r="A23" s="13">
        <v>2025078390</v>
      </c>
      <c r="B23" s="13">
        <v>10292100</v>
      </c>
      <c r="C23" s="13" t="s">
        <v>8</v>
      </c>
      <c r="D23" s="13" t="s">
        <v>11</v>
      </c>
      <c r="E23" s="13">
        <v>1016106935</v>
      </c>
      <c r="F23" s="13">
        <v>27064</v>
      </c>
      <c r="G23" s="13" t="s">
        <v>10</v>
      </c>
      <c r="H23" s="13">
        <v>10413</v>
      </c>
      <c r="I23" s="14">
        <v>7757583</v>
      </c>
      <c r="J23" s="52">
        <v>45924</v>
      </c>
      <c r="K23" s="21" t="s">
        <v>87</v>
      </c>
      <c r="L23" s="21"/>
      <c r="M23" s="21" t="e">
        <f>VLOOKUP(B:B,#REF!,1,0)</f>
        <v>#REF!</v>
      </c>
      <c r="N23" s="21">
        <v>10292100</v>
      </c>
      <c r="O23" s="21">
        <v>10292100</v>
      </c>
      <c r="P23" s="21">
        <v>10292100</v>
      </c>
      <c r="Q23" s="21"/>
    </row>
    <row r="24" spans="1:17" x14ac:dyDescent="0.3">
      <c r="A24" s="13">
        <v>2025073111</v>
      </c>
      <c r="B24" s="13">
        <v>5798394</v>
      </c>
      <c r="C24" s="13" t="s">
        <v>8</v>
      </c>
      <c r="D24" s="13" t="s">
        <v>9</v>
      </c>
      <c r="E24" s="13">
        <v>1001275619</v>
      </c>
      <c r="F24" s="13">
        <v>27063</v>
      </c>
      <c r="G24" s="13" t="s">
        <v>10</v>
      </c>
      <c r="H24" s="13">
        <v>13150</v>
      </c>
      <c r="I24" s="14">
        <v>7709200</v>
      </c>
      <c r="J24" s="52">
        <v>45922</v>
      </c>
      <c r="K24" s="21" t="s">
        <v>67</v>
      </c>
      <c r="L24" s="21"/>
      <c r="M24" s="21" t="e">
        <f>VLOOKUP(B:B,#REF!,1,0)</f>
        <v>#REF!</v>
      </c>
      <c r="N24" s="21">
        <v>5798394</v>
      </c>
      <c r="O24" s="21">
        <v>5798394</v>
      </c>
      <c r="P24" s="21">
        <v>5798394</v>
      </c>
      <c r="Q24" s="21"/>
    </row>
    <row r="25" spans="1:17" x14ac:dyDescent="0.3">
      <c r="A25" s="13">
        <v>2025076568</v>
      </c>
      <c r="B25" s="13">
        <v>7393358</v>
      </c>
      <c r="C25" s="13" t="s">
        <v>8</v>
      </c>
      <c r="D25" s="13" t="s">
        <v>27</v>
      </c>
      <c r="E25" s="13">
        <v>1000218098</v>
      </c>
      <c r="F25" s="13">
        <v>26786</v>
      </c>
      <c r="G25" s="13" t="s">
        <v>10</v>
      </c>
      <c r="H25" s="13">
        <v>13110</v>
      </c>
      <c r="I25" s="14">
        <v>7689660</v>
      </c>
      <c r="J25" s="21"/>
      <c r="K25" s="21"/>
      <c r="L25" s="21"/>
      <c r="M25" s="21" t="e">
        <f>VLOOKUP(B:B,#REF!,1,0)</f>
        <v>#REF!</v>
      </c>
      <c r="N25" s="21">
        <v>7393358</v>
      </c>
      <c r="O25" s="21">
        <v>7393358</v>
      </c>
      <c r="P25" s="21">
        <v>7393358</v>
      </c>
      <c r="Q25" s="21"/>
    </row>
    <row r="26" spans="1:17" x14ac:dyDescent="0.3">
      <c r="A26" s="13">
        <v>2025074678</v>
      </c>
      <c r="B26" s="13">
        <v>7744323</v>
      </c>
      <c r="C26" s="13" t="s">
        <v>8</v>
      </c>
      <c r="D26" s="13" t="s">
        <v>15</v>
      </c>
      <c r="E26" s="13">
        <v>1012434013</v>
      </c>
      <c r="F26" s="13">
        <v>26735</v>
      </c>
      <c r="G26" s="13" t="s">
        <v>10</v>
      </c>
      <c r="H26" s="13">
        <v>13150</v>
      </c>
      <c r="I26" s="14">
        <v>7619570</v>
      </c>
      <c r="J26" s="52">
        <v>45922</v>
      </c>
      <c r="K26" s="21" t="s">
        <v>67</v>
      </c>
      <c r="L26" s="21"/>
      <c r="M26" s="21" t="e">
        <f>VLOOKUP(B:B,#REF!,1,0)</f>
        <v>#REF!</v>
      </c>
      <c r="N26" s="21">
        <v>7744323</v>
      </c>
      <c r="O26" s="21">
        <v>7744323</v>
      </c>
      <c r="P26" s="21">
        <v>7744323</v>
      </c>
      <c r="Q26" s="21"/>
    </row>
    <row r="27" spans="1:17" x14ac:dyDescent="0.3">
      <c r="A27" s="13">
        <v>2025075059</v>
      </c>
      <c r="B27" s="13">
        <v>11345191</v>
      </c>
      <c r="C27" s="13" t="s">
        <v>8</v>
      </c>
      <c r="D27" s="13" t="s">
        <v>25</v>
      </c>
      <c r="E27" s="13">
        <v>1002525594</v>
      </c>
      <c r="F27" s="13">
        <v>26731</v>
      </c>
      <c r="G27" s="13" t="s">
        <v>10</v>
      </c>
      <c r="H27" s="13">
        <v>429</v>
      </c>
      <c r="I27" s="14">
        <v>7600000</v>
      </c>
      <c r="J27" s="52">
        <v>45922</v>
      </c>
      <c r="K27" s="21" t="s">
        <v>67</v>
      </c>
      <c r="L27" s="21"/>
      <c r="M27" s="21" t="e">
        <f>VLOOKUP(B:B,#REF!,1,0)</f>
        <v>#REF!</v>
      </c>
      <c r="N27" s="21">
        <v>11345191</v>
      </c>
      <c r="O27" s="21">
        <v>11345191</v>
      </c>
      <c r="P27" s="21">
        <v>11345191</v>
      </c>
      <c r="Q27" s="21"/>
    </row>
    <row r="28" spans="1:17" x14ac:dyDescent="0.3">
      <c r="A28" s="13">
        <v>2025080051</v>
      </c>
      <c r="B28" s="13">
        <v>11291894</v>
      </c>
      <c r="C28" s="13" t="s">
        <v>8</v>
      </c>
      <c r="D28" s="13" t="s">
        <v>20</v>
      </c>
      <c r="E28" s="13">
        <v>52837437</v>
      </c>
      <c r="F28" s="13">
        <v>26730</v>
      </c>
      <c r="G28" s="13" t="s">
        <v>10</v>
      </c>
      <c r="H28" s="13">
        <v>2124</v>
      </c>
      <c r="I28" s="14">
        <v>7600000</v>
      </c>
      <c r="J28" s="21"/>
      <c r="K28" s="21"/>
      <c r="L28" s="21"/>
      <c r="M28" s="21" t="e">
        <f>VLOOKUP(B:B,#REF!,1,0)</f>
        <v>#REF!</v>
      </c>
      <c r="N28" s="21">
        <v>11291894</v>
      </c>
      <c r="O28" s="21">
        <v>11291894</v>
      </c>
      <c r="P28" s="21">
        <v>11291894</v>
      </c>
      <c r="Q28" s="21"/>
    </row>
    <row r="29" spans="1:17" x14ac:dyDescent="0.3">
      <c r="A29" s="13">
        <v>2025078651</v>
      </c>
      <c r="B29" s="13">
        <v>6799182</v>
      </c>
      <c r="C29" s="13" t="s">
        <v>8</v>
      </c>
      <c r="D29" s="13" t="s">
        <v>13</v>
      </c>
      <c r="E29" s="13">
        <v>52756032</v>
      </c>
      <c r="F29" s="13">
        <v>26668</v>
      </c>
      <c r="G29" s="13" t="s">
        <v>10</v>
      </c>
      <c r="H29" s="13">
        <v>446</v>
      </c>
      <c r="I29" s="14">
        <v>6510878</v>
      </c>
      <c r="J29" s="21"/>
      <c r="K29" s="21"/>
      <c r="L29" s="21"/>
      <c r="M29" s="21" t="e">
        <f>VLOOKUP(B:B,#REF!,1,0)</f>
        <v>#REF!</v>
      </c>
      <c r="N29" s="21">
        <v>6799182</v>
      </c>
      <c r="O29" s="21">
        <v>6799182</v>
      </c>
      <c r="P29" s="21">
        <v>6799182</v>
      </c>
      <c r="Q29" s="21"/>
    </row>
    <row r="30" spans="1:17" x14ac:dyDescent="0.3">
      <c r="A30" s="13">
        <v>2025074873</v>
      </c>
      <c r="B30" s="13">
        <v>10379391</v>
      </c>
      <c r="C30" s="13" t="s">
        <v>8</v>
      </c>
      <c r="D30" s="13" t="s">
        <v>18</v>
      </c>
      <c r="E30" s="13">
        <v>1032677388</v>
      </c>
      <c r="F30" s="13">
        <v>26623</v>
      </c>
      <c r="G30" s="13" t="s">
        <v>10</v>
      </c>
      <c r="H30" s="13">
        <v>1051</v>
      </c>
      <c r="I30" s="14">
        <v>6061354</v>
      </c>
      <c r="J30" s="21"/>
      <c r="K30" s="21"/>
      <c r="L30" s="21"/>
      <c r="M30" s="21" t="e">
        <f>VLOOKUP(B:B,#REF!,1,0)</f>
        <v>#REF!</v>
      </c>
      <c r="N30" s="21">
        <v>10379391</v>
      </c>
      <c r="O30" s="21">
        <v>10379391</v>
      </c>
      <c r="P30" s="21">
        <v>10379391</v>
      </c>
      <c r="Q30" s="21"/>
    </row>
    <row r="31" spans="1:17" x14ac:dyDescent="0.3">
      <c r="A31" s="13">
        <v>2025074839</v>
      </c>
      <c r="B31" s="13">
        <v>7727373</v>
      </c>
      <c r="C31" s="13" t="s">
        <v>8</v>
      </c>
      <c r="D31" s="13" t="s">
        <v>22</v>
      </c>
      <c r="E31" s="13">
        <v>1001116838</v>
      </c>
      <c r="F31" s="13">
        <v>27104</v>
      </c>
      <c r="G31" s="13" t="s">
        <v>10</v>
      </c>
      <c r="H31" s="13">
        <v>13078</v>
      </c>
      <c r="I31" s="14">
        <v>6054549</v>
      </c>
      <c r="J31" s="21"/>
      <c r="K31" s="21"/>
      <c r="L31" s="21"/>
      <c r="M31" s="21" t="e">
        <f>VLOOKUP(B:B,#REF!,1,0)</f>
        <v>#REF!</v>
      </c>
      <c r="N31" s="21" t="e">
        <v>#N/A</v>
      </c>
      <c r="O31" s="21">
        <v>7727373</v>
      </c>
      <c r="P31" s="21">
        <v>7727373</v>
      </c>
      <c r="Q31" s="21"/>
    </row>
    <row r="32" spans="1:17" x14ac:dyDescent="0.3">
      <c r="A32" s="13">
        <v>2025072283</v>
      </c>
      <c r="B32" s="13">
        <v>11405890</v>
      </c>
      <c r="C32" s="13" t="s">
        <v>8</v>
      </c>
      <c r="D32" s="13" t="s">
        <v>17</v>
      </c>
      <c r="E32" s="13">
        <v>1014284618</v>
      </c>
      <c r="F32" s="13">
        <v>27083</v>
      </c>
      <c r="G32" s="13" t="s">
        <v>10</v>
      </c>
      <c r="H32" s="13">
        <v>10814</v>
      </c>
      <c r="I32" s="14">
        <v>6000000</v>
      </c>
      <c r="J32" s="52">
        <v>45922</v>
      </c>
      <c r="K32" s="21" t="s">
        <v>67</v>
      </c>
      <c r="L32" s="21"/>
      <c r="M32" s="21" t="e">
        <f>VLOOKUP(B:B,#REF!,1,0)</f>
        <v>#REF!</v>
      </c>
      <c r="N32" s="21">
        <v>11405890</v>
      </c>
      <c r="O32" s="21" t="e">
        <v>#N/A</v>
      </c>
      <c r="P32" s="21" t="e">
        <v>#N/A</v>
      </c>
      <c r="Q32" s="21"/>
    </row>
    <row r="33" spans="1:17" x14ac:dyDescent="0.3">
      <c r="A33" s="13">
        <v>2025073385</v>
      </c>
      <c r="B33" s="13">
        <v>7833157</v>
      </c>
      <c r="C33" s="13" t="s">
        <v>8</v>
      </c>
      <c r="D33" s="13" t="s">
        <v>11</v>
      </c>
      <c r="E33" s="13">
        <v>1016106935</v>
      </c>
      <c r="F33" s="13">
        <v>27064</v>
      </c>
      <c r="G33" s="13" t="s">
        <v>10</v>
      </c>
      <c r="H33" s="13">
        <v>13002</v>
      </c>
      <c r="I33" s="14">
        <v>6000000</v>
      </c>
      <c r="J33" s="21"/>
      <c r="K33" s="21"/>
      <c r="L33" s="21"/>
      <c r="M33" s="21" t="e">
        <f>VLOOKUP(B:B,#REF!,1,0)</f>
        <v>#REF!</v>
      </c>
      <c r="N33" s="21">
        <v>7833157</v>
      </c>
      <c r="O33" s="21">
        <v>7833157</v>
      </c>
      <c r="P33" s="21">
        <v>7833157</v>
      </c>
      <c r="Q33" s="21"/>
    </row>
    <row r="34" spans="1:17" x14ac:dyDescent="0.3">
      <c r="A34" s="13">
        <v>2025074346</v>
      </c>
      <c r="B34" s="13">
        <v>11422061</v>
      </c>
      <c r="C34" s="13" t="s">
        <v>8</v>
      </c>
      <c r="D34" s="13" t="s">
        <v>19</v>
      </c>
      <c r="E34" s="13">
        <v>1024593276</v>
      </c>
      <c r="F34" s="13">
        <v>27068</v>
      </c>
      <c r="G34" s="13" t="s">
        <v>10</v>
      </c>
      <c r="H34" s="13">
        <v>13506</v>
      </c>
      <c r="I34" s="14">
        <v>6000000</v>
      </c>
      <c r="J34" s="52">
        <v>45922</v>
      </c>
      <c r="K34" s="21" t="s">
        <v>67</v>
      </c>
      <c r="L34" s="21"/>
      <c r="M34" s="21" t="e">
        <f>VLOOKUP(B:B,#REF!,1,0)</f>
        <v>#REF!</v>
      </c>
      <c r="N34" s="21">
        <v>11422061</v>
      </c>
      <c r="O34" s="21">
        <v>11422061</v>
      </c>
      <c r="P34" s="21">
        <v>11422061</v>
      </c>
      <c r="Q34" s="21"/>
    </row>
    <row r="35" spans="1:17" x14ac:dyDescent="0.3">
      <c r="A35" s="13">
        <v>2025079471</v>
      </c>
      <c r="B35" s="13">
        <v>11491427</v>
      </c>
      <c r="C35" s="13" t="s">
        <v>8</v>
      </c>
      <c r="D35" s="13" t="s">
        <v>24</v>
      </c>
      <c r="E35" s="13">
        <v>1138074284</v>
      </c>
      <c r="F35" s="13">
        <v>27172</v>
      </c>
      <c r="G35" s="13" t="s">
        <v>10</v>
      </c>
      <c r="H35" s="13">
        <v>2272</v>
      </c>
      <c r="I35" s="14">
        <v>6000000</v>
      </c>
      <c r="J35" s="21"/>
      <c r="K35" s="21"/>
      <c r="L35" s="21"/>
      <c r="M35" s="21" t="e">
        <f>VLOOKUP(B:B,#REF!,1,0)</f>
        <v>#REF!</v>
      </c>
      <c r="N35" s="21">
        <v>11491427</v>
      </c>
      <c r="O35" s="21">
        <v>11491427</v>
      </c>
      <c r="P35" s="21">
        <v>11491427</v>
      </c>
      <c r="Q35" s="21"/>
    </row>
    <row r="36" spans="1:17" x14ac:dyDescent="0.3">
      <c r="A36" s="13">
        <v>2025079318</v>
      </c>
      <c r="B36" s="13">
        <v>10259163</v>
      </c>
      <c r="C36" s="13" t="s">
        <v>8</v>
      </c>
      <c r="D36" s="13" t="s">
        <v>9</v>
      </c>
      <c r="E36" s="13">
        <v>1001275619</v>
      </c>
      <c r="F36" s="13">
        <v>27063</v>
      </c>
      <c r="G36" s="13" t="s">
        <v>10</v>
      </c>
      <c r="H36" s="13">
        <v>14156</v>
      </c>
      <c r="I36" s="14">
        <v>6000000</v>
      </c>
      <c r="J36" s="21"/>
      <c r="K36" s="21"/>
      <c r="L36" s="21"/>
      <c r="M36" s="21" t="e">
        <f>VLOOKUP(B:B,#REF!,1,0)</f>
        <v>#REF!</v>
      </c>
      <c r="N36" s="21">
        <v>10259163</v>
      </c>
      <c r="O36" s="21">
        <v>10259163</v>
      </c>
      <c r="P36" s="21">
        <v>10259163</v>
      </c>
      <c r="Q36" s="21"/>
    </row>
    <row r="37" spans="1:17" x14ac:dyDescent="0.3">
      <c r="A37" s="13">
        <v>2025077976</v>
      </c>
      <c r="B37" s="13">
        <v>7312483</v>
      </c>
      <c r="C37" s="13" t="s">
        <v>8</v>
      </c>
      <c r="D37" s="13" t="s">
        <v>27</v>
      </c>
      <c r="E37" s="13">
        <v>1000218098</v>
      </c>
      <c r="F37" s="13">
        <v>26786</v>
      </c>
      <c r="G37" s="13" t="s">
        <v>10</v>
      </c>
      <c r="H37" s="13">
        <v>13524</v>
      </c>
      <c r="I37" s="14">
        <v>5957752</v>
      </c>
      <c r="J37" s="21"/>
      <c r="K37" s="21"/>
      <c r="L37" s="21"/>
      <c r="M37" s="21" t="e">
        <f>VLOOKUP(B:B,#REF!,1,0)</f>
        <v>#REF!</v>
      </c>
      <c r="N37" s="21">
        <v>7312483</v>
      </c>
      <c r="O37" s="21">
        <v>7312483</v>
      </c>
      <c r="P37" s="21">
        <v>7312483</v>
      </c>
      <c r="Q37" s="21"/>
    </row>
    <row r="38" spans="1:17" x14ac:dyDescent="0.3">
      <c r="A38" s="13">
        <v>2025077980</v>
      </c>
      <c r="B38" s="13">
        <v>7325413</v>
      </c>
      <c r="C38" s="13" t="s">
        <v>8</v>
      </c>
      <c r="D38" s="13" t="s">
        <v>15</v>
      </c>
      <c r="E38" s="13">
        <v>1012434013</v>
      </c>
      <c r="F38" s="13">
        <v>26735</v>
      </c>
      <c r="G38" s="13" t="s">
        <v>10</v>
      </c>
      <c r="H38" s="13">
        <v>13524</v>
      </c>
      <c r="I38" s="14">
        <v>5954218</v>
      </c>
      <c r="J38" s="21"/>
      <c r="K38" s="21"/>
      <c r="L38" s="21"/>
      <c r="M38" s="21" t="e">
        <f>VLOOKUP(B:B,#REF!,1,0)</f>
        <v>#REF!</v>
      </c>
      <c r="N38" s="21">
        <v>7325413</v>
      </c>
      <c r="O38" s="21">
        <v>7325413</v>
      </c>
      <c r="P38" s="21">
        <v>7325413</v>
      </c>
      <c r="Q38" s="21"/>
    </row>
    <row r="39" spans="1:17" x14ac:dyDescent="0.3">
      <c r="A39" s="13">
        <v>2025076295</v>
      </c>
      <c r="B39" s="13">
        <v>7530737</v>
      </c>
      <c r="C39" s="13" t="s">
        <v>8</v>
      </c>
      <c r="D39" s="13" t="s">
        <v>14</v>
      </c>
      <c r="E39" s="13">
        <v>1033685482</v>
      </c>
      <c r="F39" s="13">
        <v>24441</v>
      </c>
      <c r="G39" s="13" t="s">
        <v>10</v>
      </c>
      <c r="H39" s="13">
        <v>13122</v>
      </c>
      <c r="I39" s="14">
        <v>5933642</v>
      </c>
      <c r="J39" s="21"/>
      <c r="K39" s="21"/>
      <c r="L39" s="21"/>
      <c r="M39" s="21" t="e">
        <f>VLOOKUP(B:B,#REF!,1,0)</f>
        <v>#REF!</v>
      </c>
      <c r="N39" s="21">
        <v>7530737</v>
      </c>
      <c r="O39" s="21">
        <v>7530737</v>
      </c>
      <c r="P39" s="21" t="e">
        <v>#N/A</v>
      </c>
      <c r="Q39" s="21"/>
    </row>
    <row r="40" spans="1:17" x14ac:dyDescent="0.3">
      <c r="A40" s="13">
        <v>2025072529</v>
      </c>
      <c r="B40" s="13">
        <v>11605351</v>
      </c>
      <c r="C40" s="13" t="s">
        <v>8</v>
      </c>
      <c r="D40" s="13" t="s">
        <v>25</v>
      </c>
      <c r="E40" s="13">
        <v>1002525594</v>
      </c>
      <c r="F40" s="13">
        <v>26731</v>
      </c>
      <c r="G40" s="13" t="s">
        <v>10</v>
      </c>
      <c r="H40" s="13">
        <v>12396</v>
      </c>
      <c r="I40" s="14">
        <v>5900000</v>
      </c>
      <c r="J40" s="21"/>
      <c r="K40" s="21"/>
      <c r="L40" s="21"/>
      <c r="M40" s="21" t="e">
        <f>VLOOKUP(B:B,#REF!,1,0)</f>
        <v>#REF!</v>
      </c>
      <c r="N40" s="21">
        <v>11605351</v>
      </c>
      <c r="O40" s="21">
        <v>11605351</v>
      </c>
      <c r="P40" s="21">
        <v>11605351</v>
      </c>
      <c r="Q40" s="21"/>
    </row>
    <row r="41" spans="1:17" x14ac:dyDescent="0.3">
      <c r="A41" s="13">
        <v>2025079518</v>
      </c>
      <c r="B41" s="13">
        <v>7310195</v>
      </c>
      <c r="C41" s="13" t="s">
        <v>8</v>
      </c>
      <c r="D41" s="13" t="s">
        <v>20</v>
      </c>
      <c r="E41" s="13">
        <v>52837437</v>
      </c>
      <c r="F41" s="13">
        <v>26730</v>
      </c>
      <c r="G41" s="13" t="s">
        <v>10</v>
      </c>
      <c r="H41" s="13">
        <v>13466</v>
      </c>
      <c r="I41" s="14">
        <v>5894220</v>
      </c>
      <c r="J41" s="21"/>
      <c r="K41" s="21"/>
      <c r="L41" s="21"/>
      <c r="M41" s="21" t="e">
        <f>VLOOKUP(B:B,#REF!,1,0)</f>
        <v>#REF!</v>
      </c>
      <c r="N41" s="21">
        <v>7310195</v>
      </c>
      <c r="O41" s="21">
        <v>7310195</v>
      </c>
      <c r="P41" s="21">
        <v>7310195</v>
      </c>
      <c r="Q41" s="21"/>
    </row>
    <row r="42" spans="1:17" x14ac:dyDescent="0.3">
      <c r="A42" s="13">
        <v>2025076278</v>
      </c>
      <c r="B42" s="13">
        <v>11597018</v>
      </c>
      <c r="C42" s="13" t="s">
        <v>8</v>
      </c>
      <c r="D42" s="13" t="s">
        <v>23</v>
      </c>
      <c r="E42" s="13">
        <v>1015449218</v>
      </c>
      <c r="F42" s="13">
        <v>24438</v>
      </c>
      <c r="G42" s="13" t="s">
        <v>10</v>
      </c>
      <c r="H42" s="13">
        <v>13033</v>
      </c>
      <c r="I42" s="14">
        <v>5600000</v>
      </c>
      <c r="J42" s="52">
        <v>45922</v>
      </c>
      <c r="K42" s="21" t="s">
        <v>67</v>
      </c>
      <c r="L42" s="21"/>
      <c r="M42" s="21" t="e">
        <f>VLOOKUP(B:B,#REF!,1,0)</f>
        <v>#REF!</v>
      </c>
      <c r="N42" s="21">
        <v>11597018</v>
      </c>
      <c r="O42" s="21">
        <v>11597018</v>
      </c>
      <c r="P42" s="21" t="e">
        <v>#N/A</v>
      </c>
      <c r="Q42" s="21"/>
    </row>
    <row r="43" spans="1:17" x14ac:dyDescent="0.3">
      <c r="A43" s="13">
        <v>2025077402</v>
      </c>
      <c r="B43" s="13">
        <v>7515469</v>
      </c>
      <c r="C43" s="13" t="s">
        <v>8</v>
      </c>
      <c r="D43" s="13" t="s">
        <v>13</v>
      </c>
      <c r="E43" s="13">
        <v>52756032</v>
      </c>
      <c r="F43" s="13">
        <v>26668</v>
      </c>
      <c r="G43" s="13" t="s">
        <v>10</v>
      </c>
      <c r="H43" s="13">
        <v>483</v>
      </c>
      <c r="I43" s="14">
        <v>5331870</v>
      </c>
      <c r="J43" s="21"/>
      <c r="K43" s="21"/>
      <c r="L43" s="21"/>
      <c r="M43" s="21" t="e">
        <f>VLOOKUP(B:B,#REF!,1,0)</f>
        <v>#REF!</v>
      </c>
      <c r="N43" s="21">
        <v>7515469</v>
      </c>
      <c r="O43" s="21">
        <v>7515469</v>
      </c>
      <c r="P43" s="21">
        <v>7515469</v>
      </c>
      <c r="Q43" s="21"/>
    </row>
    <row r="44" spans="1:17" x14ac:dyDescent="0.3">
      <c r="A44" s="13">
        <v>2025073850</v>
      </c>
      <c r="B44" s="13">
        <v>11422516</v>
      </c>
      <c r="C44" s="13" t="s">
        <v>8</v>
      </c>
      <c r="D44" s="13" t="s">
        <v>18</v>
      </c>
      <c r="E44" s="13">
        <v>1032677388</v>
      </c>
      <c r="F44" s="13">
        <v>26623</v>
      </c>
      <c r="G44" s="13" t="s">
        <v>10</v>
      </c>
      <c r="H44" s="13">
        <v>13122</v>
      </c>
      <c r="I44" s="14">
        <v>5200000</v>
      </c>
      <c r="J44" s="52">
        <v>45922</v>
      </c>
      <c r="K44" s="21" t="s">
        <v>67</v>
      </c>
      <c r="L44" s="21"/>
      <c r="M44" s="21" t="e">
        <f>VLOOKUP(B:B,#REF!,1,0)</f>
        <v>#REF!</v>
      </c>
      <c r="N44" s="21">
        <v>11422516</v>
      </c>
      <c r="O44" s="21" t="e">
        <v>#N/A</v>
      </c>
      <c r="P44" s="21" t="e">
        <v>#N/A</v>
      </c>
      <c r="Q44" s="21"/>
    </row>
    <row r="45" spans="1:17" x14ac:dyDescent="0.3">
      <c r="A45" s="13">
        <v>2025076177</v>
      </c>
      <c r="B45" s="13">
        <v>10631930</v>
      </c>
      <c r="C45" s="13" t="s">
        <v>8</v>
      </c>
      <c r="D45" s="13" t="s">
        <v>22</v>
      </c>
      <c r="E45" s="13">
        <v>1001116838</v>
      </c>
      <c r="F45" s="13">
        <v>27104</v>
      </c>
      <c r="G45" s="13" t="s">
        <v>10</v>
      </c>
      <c r="H45" s="13">
        <v>10178</v>
      </c>
      <c r="I45" s="14">
        <v>5199600</v>
      </c>
      <c r="J45" s="21"/>
      <c r="K45" s="21"/>
      <c r="L45" s="21"/>
      <c r="M45" s="21" t="e">
        <f>VLOOKUP(B:B,#REF!,1,0)</f>
        <v>#REF!</v>
      </c>
      <c r="N45" s="21">
        <v>10631930</v>
      </c>
      <c r="O45" s="21">
        <v>10631930</v>
      </c>
      <c r="P45" s="21">
        <v>10631930</v>
      </c>
      <c r="Q45" s="21"/>
    </row>
    <row r="46" spans="1:17" x14ac:dyDescent="0.3">
      <c r="A46" s="13">
        <v>2025077336</v>
      </c>
      <c r="B46" s="13">
        <v>10281136</v>
      </c>
      <c r="C46" s="13" t="s">
        <v>8</v>
      </c>
      <c r="D46" s="13" t="s">
        <v>17</v>
      </c>
      <c r="E46" s="13">
        <v>1014284618</v>
      </c>
      <c r="F46" s="13">
        <v>27083</v>
      </c>
      <c r="G46" s="13" t="s">
        <v>10</v>
      </c>
      <c r="H46" s="13">
        <v>13316</v>
      </c>
      <c r="I46" s="14">
        <v>5191936</v>
      </c>
      <c r="J46" s="52">
        <v>45922</v>
      </c>
      <c r="K46" s="21" t="s">
        <v>67</v>
      </c>
      <c r="L46" s="21"/>
      <c r="M46" s="21" t="e">
        <f>VLOOKUP(B:B,#REF!,1,0)</f>
        <v>#REF!</v>
      </c>
      <c r="N46" s="21">
        <v>10281136</v>
      </c>
      <c r="O46" s="21">
        <v>10281136</v>
      </c>
      <c r="P46" s="21" t="e">
        <v>#N/A</v>
      </c>
      <c r="Q46" s="21"/>
    </row>
    <row r="47" spans="1:17" x14ac:dyDescent="0.3">
      <c r="A47" s="13">
        <v>2025074666</v>
      </c>
      <c r="B47" s="13">
        <v>10264352</v>
      </c>
      <c r="C47" s="13" t="s">
        <v>8</v>
      </c>
      <c r="D47" s="13" t="s">
        <v>24</v>
      </c>
      <c r="E47" s="13">
        <v>1138074284</v>
      </c>
      <c r="F47" s="13">
        <v>27172</v>
      </c>
      <c r="G47" s="13" t="s">
        <v>10</v>
      </c>
      <c r="H47" s="13">
        <v>13000</v>
      </c>
      <c r="I47" s="14">
        <v>5191936</v>
      </c>
      <c r="J47" s="21"/>
      <c r="K47" s="21"/>
      <c r="L47" s="21"/>
      <c r="M47" s="21" t="e">
        <f>VLOOKUP(B:B,#REF!,1,0)</f>
        <v>#REF!</v>
      </c>
      <c r="N47" s="21">
        <v>10264352</v>
      </c>
      <c r="O47" s="21">
        <v>10264352</v>
      </c>
      <c r="P47" s="21">
        <v>10264352</v>
      </c>
      <c r="Q47" s="21"/>
    </row>
    <row r="48" spans="1:17" x14ac:dyDescent="0.3">
      <c r="A48" s="13">
        <v>2025075116</v>
      </c>
      <c r="B48" s="13">
        <v>10704096</v>
      </c>
      <c r="C48" s="13" t="s">
        <v>8</v>
      </c>
      <c r="D48" s="13" t="s">
        <v>19</v>
      </c>
      <c r="E48" s="13">
        <v>1024593276</v>
      </c>
      <c r="F48" s="13">
        <v>27068</v>
      </c>
      <c r="G48" s="13" t="s">
        <v>10</v>
      </c>
      <c r="H48" s="13">
        <v>12335</v>
      </c>
      <c r="I48" s="14">
        <v>5180000</v>
      </c>
      <c r="J48" s="21"/>
      <c r="K48" s="21"/>
      <c r="L48" s="21"/>
      <c r="M48" s="21" t="e">
        <f>VLOOKUP(B:B,#REF!,1,0)</f>
        <v>#REF!</v>
      </c>
      <c r="N48" s="21">
        <v>10704096</v>
      </c>
      <c r="O48" s="21">
        <v>10704096</v>
      </c>
      <c r="P48" s="21">
        <v>10704096</v>
      </c>
      <c r="Q48" s="21"/>
    </row>
    <row r="49" spans="1:17" x14ac:dyDescent="0.3">
      <c r="A49" s="13">
        <v>2025073925</v>
      </c>
      <c r="B49" s="13">
        <v>6615511</v>
      </c>
      <c r="C49" s="13" t="s">
        <v>8</v>
      </c>
      <c r="D49" s="13" t="s">
        <v>27</v>
      </c>
      <c r="E49" s="13">
        <v>1000218098</v>
      </c>
      <c r="F49" s="13">
        <v>26786</v>
      </c>
      <c r="G49" s="13" t="s">
        <v>10</v>
      </c>
      <c r="H49" s="13">
        <v>13130</v>
      </c>
      <c r="I49" s="14">
        <v>5145900</v>
      </c>
      <c r="J49" s="21"/>
      <c r="K49" s="21"/>
      <c r="L49" s="21"/>
      <c r="M49" s="21" t="e">
        <f>VLOOKUP(B:B,#REF!,1,0)</f>
        <v>#REF!</v>
      </c>
      <c r="N49" s="21">
        <v>6615511</v>
      </c>
      <c r="O49" s="21">
        <v>6615511</v>
      </c>
      <c r="P49" s="21">
        <v>6615511</v>
      </c>
      <c r="Q49" s="21"/>
    </row>
    <row r="50" spans="1:17" x14ac:dyDescent="0.3">
      <c r="A50" s="13">
        <v>2025074741</v>
      </c>
      <c r="B50" s="13">
        <v>6158764</v>
      </c>
      <c r="C50" s="13" t="s">
        <v>8</v>
      </c>
      <c r="D50" s="13" t="s">
        <v>11</v>
      </c>
      <c r="E50" s="13">
        <v>1016106935</v>
      </c>
      <c r="F50" s="13">
        <v>27064</v>
      </c>
      <c r="G50" s="13" t="s">
        <v>10</v>
      </c>
      <c r="H50" s="13">
        <v>13056</v>
      </c>
      <c r="I50" s="14">
        <v>5107462</v>
      </c>
      <c r="J50" s="52">
        <v>45922</v>
      </c>
      <c r="K50" s="21" t="s">
        <v>67</v>
      </c>
      <c r="L50" s="21"/>
      <c r="M50" s="21" t="e">
        <f>VLOOKUP(B:B,#REF!,1,0)</f>
        <v>#REF!</v>
      </c>
      <c r="N50" s="21">
        <v>6158764</v>
      </c>
      <c r="O50" s="21">
        <v>6158764</v>
      </c>
      <c r="P50" s="21" t="e">
        <v>#N/A</v>
      </c>
      <c r="Q50" s="21"/>
    </row>
    <row r="51" spans="1:17" x14ac:dyDescent="0.3">
      <c r="A51" s="13">
        <v>2025073603</v>
      </c>
      <c r="B51" s="13">
        <v>7019255</v>
      </c>
      <c r="C51" s="13" t="s">
        <v>8</v>
      </c>
      <c r="D51" s="13" t="s">
        <v>9</v>
      </c>
      <c r="E51" s="13">
        <v>1001275619</v>
      </c>
      <c r="F51" s="13">
        <v>27063</v>
      </c>
      <c r="G51" s="13" t="s">
        <v>10</v>
      </c>
      <c r="H51" s="13">
        <v>14039</v>
      </c>
      <c r="I51" s="14">
        <v>5102400</v>
      </c>
      <c r="J51" s="21"/>
      <c r="K51" s="21"/>
      <c r="L51" s="21"/>
      <c r="M51" s="21" t="e">
        <f>VLOOKUP(B:B,#REF!,1,0)</f>
        <v>#REF!</v>
      </c>
      <c r="N51" s="21">
        <v>7019255</v>
      </c>
      <c r="O51" s="21">
        <v>7019255</v>
      </c>
      <c r="P51" s="21">
        <v>7019255</v>
      </c>
      <c r="Q51" s="21"/>
    </row>
    <row r="52" spans="1:17" x14ac:dyDescent="0.3">
      <c r="A52" s="13">
        <v>2025075908</v>
      </c>
      <c r="B52" s="13">
        <v>7517713</v>
      </c>
      <c r="C52" s="13" t="s">
        <v>8</v>
      </c>
      <c r="D52" s="13" t="s">
        <v>15</v>
      </c>
      <c r="E52" s="13">
        <v>1012434013</v>
      </c>
      <c r="F52" s="13">
        <v>26735</v>
      </c>
      <c r="G52" s="13" t="s">
        <v>10</v>
      </c>
      <c r="H52" s="13">
        <v>13226</v>
      </c>
      <c r="I52" s="14">
        <v>5086436</v>
      </c>
      <c r="J52" s="52">
        <v>45924</v>
      </c>
      <c r="K52" s="21" t="s">
        <v>79</v>
      </c>
      <c r="L52" s="21"/>
      <c r="M52" s="21" t="e">
        <f>VLOOKUP(B:B,#REF!,1,0)</f>
        <v>#REF!</v>
      </c>
      <c r="N52" s="21">
        <v>7517713</v>
      </c>
      <c r="O52" s="21" t="e">
        <v>#N/A</v>
      </c>
      <c r="P52" s="21" t="e">
        <v>#N/A</v>
      </c>
      <c r="Q52" s="21"/>
    </row>
    <row r="53" spans="1:17" x14ac:dyDescent="0.3">
      <c r="A53" s="13">
        <v>2025078267</v>
      </c>
      <c r="B53" s="13">
        <v>11344415</v>
      </c>
      <c r="C53" s="13" t="s">
        <v>8</v>
      </c>
      <c r="D53" s="13" t="s">
        <v>14</v>
      </c>
      <c r="E53" s="13">
        <v>1033685482</v>
      </c>
      <c r="F53" s="13">
        <v>24441</v>
      </c>
      <c r="G53" s="13" t="s">
        <v>10</v>
      </c>
      <c r="H53" s="13">
        <v>14078</v>
      </c>
      <c r="I53" s="14">
        <v>5086000</v>
      </c>
      <c r="J53" s="21"/>
      <c r="K53" s="21"/>
      <c r="L53" s="21"/>
      <c r="M53" s="21" t="e">
        <f>VLOOKUP(B:B,#REF!,1,0)</f>
        <v>#REF!</v>
      </c>
      <c r="N53" s="21">
        <v>11344415</v>
      </c>
      <c r="O53" s="21">
        <v>11344415</v>
      </c>
      <c r="P53" s="21">
        <v>11344415</v>
      </c>
      <c r="Q53" s="21"/>
    </row>
    <row r="54" spans="1:17" x14ac:dyDescent="0.3">
      <c r="A54" s="13">
        <v>2025074687</v>
      </c>
      <c r="B54" s="13">
        <v>6266786</v>
      </c>
      <c r="C54" s="13" t="s">
        <v>8</v>
      </c>
      <c r="D54" s="13" t="s">
        <v>25</v>
      </c>
      <c r="E54" s="13">
        <v>1002525594</v>
      </c>
      <c r="F54" s="13">
        <v>26731</v>
      </c>
      <c r="G54" s="13" t="s">
        <v>10</v>
      </c>
      <c r="H54" s="13">
        <v>429</v>
      </c>
      <c r="I54" s="14">
        <v>5082182</v>
      </c>
      <c r="J54" s="21"/>
      <c r="K54" s="21"/>
      <c r="L54" s="21"/>
      <c r="M54" s="21" t="e">
        <f>VLOOKUP(B:B,#REF!,1,0)</f>
        <v>#REF!</v>
      </c>
      <c r="N54" s="21">
        <v>6266786</v>
      </c>
      <c r="O54" s="21">
        <v>6266786</v>
      </c>
      <c r="P54" s="21">
        <v>6266786</v>
      </c>
      <c r="Q54" s="21"/>
    </row>
    <row r="55" spans="1:17" x14ac:dyDescent="0.3">
      <c r="A55" s="13">
        <v>2025072748</v>
      </c>
      <c r="B55" s="13">
        <v>10497998</v>
      </c>
      <c r="C55" s="13" t="s">
        <v>8</v>
      </c>
      <c r="D55" s="13" t="s">
        <v>20</v>
      </c>
      <c r="E55" s="13">
        <v>52837437</v>
      </c>
      <c r="F55" s="13">
        <v>26730</v>
      </c>
      <c r="G55" s="13" t="s">
        <v>10</v>
      </c>
      <c r="H55" s="13">
        <v>11233</v>
      </c>
      <c r="I55" s="14">
        <v>5058352</v>
      </c>
      <c r="J55" s="52">
        <v>45922</v>
      </c>
      <c r="K55" s="21" t="s">
        <v>67</v>
      </c>
      <c r="L55" s="21"/>
      <c r="M55" s="21" t="e">
        <f>VLOOKUP(B:B,#REF!,1,0)</f>
        <v>#REF!</v>
      </c>
      <c r="N55" s="21">
        <v>10497998</v>
      </c>
      <c r="O55" s="21">
        <v>10497998</v>
      </c>
      <c r="P55" s="21">
        <v>10497998</v>
      </c>
      <c r="Q55" s="21"/>
    </row>
    <row r="56" spans="1:17" x14ac:dyDescent="0.3">
      <c r="A56" s="13">
        <v>2025078711</v>
      </c>
      <c r="B56" s="13">
        <v>7268508</v>
      </c>
      <c r="C56" s="13" t="s">
        <v>8</v>
      </c>
      <c r="D56" s="13" t="s">
        <v>23</v>
      </c>
      <c r="E56" s="13">
        <v>1015449218</v>
      </c>
      <c r="F56" s="13">
        <v>24438</v>
      </c>
      <c r="G56" s="13" t="s">
        <v>10</v>
      </c>
      <c r="H56" s="13">
        <v>10318</v>
      </c>
      <c r="I56" s="14">
        <v>4973744</v>
      </c>
      <c r="J56" s="21"/>
      <c r="K56" s="21"/>
      <c r="L56" s="21"/>
      <c r="M56" s="21" t="e">
        <f>VLOOKUP(B:B,#REF!,1,0)</f>
        <v>#REF!</v>
      </c>
      <c r="N56" s="21">
        <v>7268508</v>
      </c>
      <c r="O56" s="21">
        <v>7268508</v>
      </c>
      <c r="P56" s="21">
        <v>7268508</v>
      </c>
      <c r="Q56" s="21"/>
    </row>
    <row r="57" spans="1:17" x14ac:dyDescent="0.3">
      <c r="A57" s="13">
        <v>2025073907</v>
      </c>
      <c r="B57" s="13">
        <v>10020947</v>
      </c>
      <c r="C57" s="13" t="s">
        <v>8</v>
      </c>
      <c r="D57" s="13" t="s">
        <v>13</v>
      </c>
      <c r="E57" s="13">
        <v>52756032</v>
      </c>
      <c r="F57" s="13">
        <v>26668</v>
      </c>
      <c r="G57" s="13" t="s">
        <v>10</v>
      </c>
      <c r="H57" s="13">
        <v>13130</v>
      </c>
      <c r="I57" s="14">
        <v>4700300</v>
      </c>
      <c r="J57" s="21"/>
      <c r="K57" s="21"/>
      <c r="L57" s="21"/>
      <c r="M57" s="21" t="e">
        <f>VLOOKUP(B:B,#REF!,1,0)</f>
        <v>#REF!</v>
      </c>
      <c r="N57" s="21">
        <v>10020947</v>
      </c>
      <c r="O57" s="21">
        <v>10020947</v>
      </c>
      <c r="P57" s="21">
        <v>10020947</v>
      </c>
      <c r="Q57" s="21"/>
    </row>
    <row r="58" spans="1:17" x14ac:dyDescent="0.3">
      <c r="A58" s="13">
        <v>2025073093</v>
      </c>
      <c r="B58" s="13">
        <v>7841279</v>
      </c>
      <c r="C58" s="13" t="s">
        <v>8</v>
      </c>
      <c r="D58" s="13" t="s">
        <v>22</v>
      </c>
      <c r="E58" s="13">
        <v>1001116838</v>
      </c>
      <c r="F58" s="13">
        <v>27104</v>
      </c>
      <c r="G58" s="13" t="s">
        <v>10</v>
      </c>
      <c r="H58" s="13">
        <v>13788</v>
      </c>
      <c r="I58" s="14">
        <v>4600000</v>
      </c>
      <c r="J58" s="21"/>
      <c r="K58" s="21"/>
      <c r="L58" s="21"/>
      <c r="M58" s="21" t="e">
        <f>VLOOKUP(B:B,#REF!,1,0)</f>
        <v>#REF!</v>
      </c>
      <c r="N58" s="21">
        <v>7841279</v>
      </c>
      <c r="O58" s="21">
        <v>7841279</v>
      </c>
      <c r="P58" s="21">
        <v>7841279</v>
      </c>
      <c r="Q58" s="21"/>
    </row>
    <row r="59" spans="1:17" x14ac:dyDescent="0.3">
      <c r="A59" s="13">
        <v>2025073308</v>
      </c>
      <c r="B59" s="13">
        <v>11417121</v>
      </c>
      <c r="C59" s="13" t="s">
        <v>8</v>
      </c>
      <c r="D59" s="13" t="s">
        <v>18</v>
      </c>
      <c r="E59" s="13">
        <v>1032677388</v>
      </c>
      <c r="F59" s="13">
        <v>26623</v>
      </c>
      <c r="G59" s="13" t="s">
        <v>10</v>
      </c>
      <c r="H59" s="13">
        <v>13721</v>
      </c>
      <c r="I59" s="14">
        <v>4600000</v>
      </c>
      <c r="J59" s="21"/>
      <c r="K59" s="21"/>
      <c r="L59" s="21"/>
      <c r="M59" s="21" t="e">
        <f>VLOOKUP(B:B,#REF!,1,0)</f>
        <v>#REF!</v>
      </c>
      <c r="N59" s="21">
        <v>11417121</v>
      </c>
      <c r="O59" s="21">
        <v>11417121</v>
      </c>
      <c r="P59" s="21">
        <v>11417121</v>
      </c>
      <c r="Q59" s="21"/>
    </row>
    <row r="60" spans="1:17" x14ac:dyDescent="0.3">
      <c r="A60" s="13">
        <v>2025080645</v>
      </c>
      <c r="B60" s="13">
        <v>10334130</v>
      </c>
      <c r="C60" s="13" t="s">
        <v>8</v>
      </c>
      <c r="D60" s="13" t="s">
        <v>24</v>
      </c>
      <c r="E60" s="13">
        <v>1138074284</v>
      </c>
      <c r="F60" s="13">
        <v>27172</v>
      </c>
      <c r="G60" s="13" t="s">
        <v>10</v>
      </c>
      <c r="H60" s="13">
        <v>1753</v>
      </c>
      <c r="I60" s="14">
        <v>4600000</v>
      </c>
      <c r="J60" s="21"/>
      <c r="K60" s="21"/>
      <c r="L60" s="21"/>
      <c r="M60" s="21" t="e">
        <f>VLOOKUP(B:B,#REF!,1,0)</f>
        <v>#REF!</v>
      </c>
      <c r="N60" s="21">
        <v>10334130</v>
      </c>
      <c r="O60" s="21">
        <v>10334130</v>
      </c>
      <c r="P60" s="21">
        <v>10334130</v>
      </c>
      <c r="Q60" s="21"/>
    </row>
    <row r="61" spans="1:17" x14ac:dyDescent="0.3">
      <c r="A61" s="13">
        <v>2025075594</v>
      </c>
      <c r="B61" s="13">
        <v>7679673</v>
      </c>
      <c r="C61" s="13" t="s">
        <v>8</v>
      </c>
      <c r="D61" s="13" t="s">
        <v>9</v>
      </c>
      <c r="E61" s="13">
        <v>1001275619</v>
      </c>
      <c r="F61" s="13">
        <v>27063</v>
      </c>
      <c r="G61" s="13" t="s">
        <v>10</v>
      </c>
      <c r="H61" s="13">
        <v>13327</v>
      </c>
      <c r="I61" s="14">
        <v>4598502</v>
      </c>
      <c r="J61" s="21"/>
      <c r="K61" s="21"/>
      <c r="L61" s="21"/>
      <c r="M61" s="21" t="e">
        <f>VLOOKUP(B:B,#REF!,1,0)</f>
        <v>#REF!</v>
      </c>
      <c r="N61" s="21">
        <v>7679673</v>
      </c>
      <c r="O61" s="21">
        <v>7679673</v>
      </c>
      <c r="P61" s="21">
        <v>7679673</v>
      </c>
      <c r="Q61" s="21"/>
    </row>
    <row r="62" spans="1:17" x14ac:dyDescent="0.3">
      <c r="A62" s="13">
        <v>2025074774</v>
      </c>
      <c r="B62" s="13">
        <v>10403858</v>
      </c>
      <c r="C62" s="13" t="s">
        <v>8</v>
      </c>
      <c r="D62" s="13" t="s">
        <v>11</v>
      </c>
      <c r="E62" s="13">
        <v>1016106935</v>
      </c>
      <c r="F62" s="13">
        <v>27064</v>
      </c>
      <c r="G62" s="13" t="s">
        <v>10</v>
      </c>
      <c r="H62" s="13">
        <v>13078</v>
      </c>
      <c r="I62" s="14">
        <v>4598502</v>
      </c>
      <c r="J62" s="21"/>
      <c r="K62" s="21"/>
      <c r="L62" s="21"/>
      <c r="M62" s="21" t="e">
        <f>VLOOKUP(B:B,#REF!,1,0)</f>
        <v>#REF!</v>
      </c>
      <c r="N62" s="21">
        <v>10403858</v>
      </c>
      <c r="O62" s="21">
        <v>10403858</v>
      </c>
      <c r="P62" s="21">
        <v>10403858</v>
      </c>
      <c r="Q62" s="21"/>
    </row>
    <row r="63" spans="1:17" x14ac:dyDescent="0.3">
      <c r="A63" s="13">
        <v>2025074545</v>
      </c>
      <c r="B63" s="13">
        <v>10446304</v>
      </c>
      <c r="C63" s="13" t="s">
        <v>8</v>
      </c>
      <c r="D63" s="13" t="s">
        <v>19</v>
      </c>
      <c r="E63" s="13">
        <v>1024593276</v>
      </c>
      <c r="F63" s="13">
        <v>27068</v>
      </c>
      <c r="G63" s="13" t="s">
        <v>10</v>
      </c>
      <c r="H63" s="13">
        <v>13056</v>
      </c>
      <c r="I63" s="14">
        <v>4598502</v>
      </c>
      <c r="J63" s="21"/>
      <c r="K63" s="21"/>
      <c r="L63" s="21"/>
      <c r="M63" s="21" t="e">
        <f>VLOOKUP(B:B,#REF!,1,0)</f>
        <v>#REF!</v>
      </c>
      <c r="N63" s="21">
        <v>10446304</v>
      </c>
      <c r="O63" s="21">
        <v>10446304</v>
      </c>
      <c r="P63" s="21">
        <v>10446304</v>
      </c>
      <c r="Q63" s="21"/>
    </row>
    <row r="64" spans="1:17" x14ac:dyDescent="0.3">
      <c r="A64" s="13">
        <v>2025074583</v>
      </c>
      <c r="B64" s="13">
        <v>10581565</v>
      </c>
      <c r="C64" s="13" t="s">
        <v>8</v>
      </c>
      <c r="D64" s="13" t="s">
        <v>17</v>
      </c>
      <c r="E64" s="13">
        <v>1014284618</v>
      </c>
      <c r="F64" s="13">
        <v>27083</v>
      </c>
      <c r="G64" s="13" t="s">
        <v>10</v>
      </c>
      <c r="H64" s="13">
        <v>633</v>
      </c>
      <c r="I64" s="14">
        <v>4598502</v>
      </c>
      <c r="J64" s="52">
        <v>45922</v>
      </c>
      <c r="K64" s="21" t="s">
        <v>67</v>
      </c>
      <c r="L64" s="21"/>
      <c r="M64" s="21" t="e">
        <f>VLOOKUP(B:B,#REF!,1,0)</f>
        <v>#REF!</v>
      </c>
      <c r="N64" s="21">
        <v>10581565</v>
      </c>
      <c r="O64" s="21">
        <v>10581565</v>
      </c>
      <c r="P64" s="21" t="e">
        <v>#N/A</v>
      </c>
      <c r="Q64" s="21"/>
    </row>
    <row r="65" spans="1:17" x14ac:dyDescent="0.3">
      <c r="A65" s="13">
        <v>2025076813</v>
      </c>
      <c r="B65" s="13">
        <v>6282482</v>
      </c>
      <c r="C65" s="13" t="s">
        <v>8</v>
      </c>
      <c r="D65" s="13" t="s">
        <v>27</v>
      </c>
      <c r="E65" s="13">
        <v>1000218098</v>
      </c>
      <c r="F65" s="13">
        <v>26786</v>
      </c>
      <c r="G65" s="13" t="s">
        <v>10</v>
      </c>
      <c r="H65" s="13">
        <v>13406</v>
      </c>
      <c r="I65" s="14">
        <v>4589574</v>
      </c>
      <c r="J65" s="21"/>
      <c r="K65" s="21"/>
      <c r="L65" s="21"/>
      <c r="M65" s="21" t="e">
        <f>VLOOKUP(B:B,#REF!,1,0)</f>
        <v>#REF!</v>
      </c>
      <c r="N65" s="21">
        <v>6282482</v>
      </c>
      <c r="O65" s="21">
        <v>6282482</v>
      </c>
      <c r="P65" s="21">
        <v>6282482</v>
      </c>
      <c r="Q65" s="21"/>
    </row>
    <row r="66" spans="1:17" x14ac:dyDescent="0.3">
      <c r="A66" s="13">
        <v>2025074542</v>
      </c>
      <c r="B66" s="13">
        <v>6636568</v>
      </c>
      <c r="C66" s="13" t="s">
        <v>8</v>
      </c>
      <c r="D66" s="13" t="s">
        <v>15</v>
      </c>
      <c r="E66" s="13">
        <v>1012434013</v>
      </c>
      <c r="F66" s="13">
        <v>26735</v>
      </c>
      <c r="G66" s="13" t="s">
        <v>10</v>
      </c>
      <c r="H66" s="13">
        <v>1545</v>
      </c>
      <c r="I66" s="14">
        <v>4582702</v>
      </c>
      <c r="J66" s="21"/>
      <c r="K66" s="21"/>
      <c r="L66" s="21"/>
      <c r="M66" s="21" t="e">
        <f>VLOOKUP(B:B,#REF!,1,0)</f>
        <v>#REF!</v>
      </c>
      <c r="N66" s="21">
        <v>6636568</v>
      </c>
      <c r="O66" s="21">
        <v>6636568</v>
      </c>
      <c r="P66" s="21">
        <v>6636568</v>
      </c>
      <c r="Q66" s="21"/>
    </row>
    <row r="67" spans="1:17" x14ac:dyDescent="0.3">
      <c r="A67" s="13">
        <v>2025073068</v>
      </c>
      <c r="B67" s="13">
        <v>7433883</v>
      </c>
      <c r="C67" s="13" t="s">
        <v>8</v>
      </c>
      <c r="D67" s="13" t="s">
        <v>14</v>
      </c>
      <c r="E67" s="13">
        <v>1033685482</v>
      </c>
      <c r="F67" s="13">
        <v>24441</v>
      </c>
      <c r="G67" s="13" t="s">
        <v>10</v>
      </c>
      <c r="H67" s="13">
        <v>13233</v>
      </c>
      <c r="I67" s="14">
        <v>4576000</v>
      </c>
      <c r="J67" s="21"/>
      <c r="K67" s="21"/>
      <c r="L67" s="21"/>
      <c r="M67" s="21" t="e">
        <f>VLOOKUP(B:B,#REF!,1,0)</f>
        <v>#REF!</v>
      </c>
      <c r="N67" s="21">
        <v>7433883</v>
      </c>
      <c r="O67" s="21">
        <v>7433883</v>
      </c>
      <c r="P67" s="21">
        <v>7433883</v>
      </c>
      <c r="Q67" s="21"/>
    </row>
    <row r="68" spans="1:17" x14ac:dyDescent="0.3">
      <c r="A68" s="13">
        <v>2025073220</v>
      </c>
      <c r="B68" s="13">
        <v>7280239</v>
      </c>
      <c r="C68" s="13" t="s">
        <v>8</v>
      </c>
      <c r="D68" s="13" t="s">
        <v>20</v>
      </c>
      <c r="E68" s="13">
        <v>52837437</v>
      </c>
      <c r="F68" s="13">
        <v>26730</v>
      </c>
      <c r="G68" s="13" t="s">
        <v>10</v>
      </c>
      <c r="H68" s="13">
        <v>13002</v>
      </c>
      <c r="I68" s="14">
        <v>4567750</v>
      </c>
      <c r="J68" s="21"/>
      <c r="K68" s="21"/>
      <c r="L68" s="21"/>
      <c r="M68" s="21" t="e">
        <f>VLOOKUP(B:B,#REF!,1,0)</f>
        <v>#REF!</v>
      </c>
      <c r="N68" s="21">
        <v>7280239</v>
      </c>
      <c r="O68" s="21">
        <v>7280239</v>
      </c>
      <c r="P68" s="21">
        <v>7280239</v>
      </c>
      <c r="Q68" s="21"/>
    </row>
    <row r="69" spans="1:17" x14ac:dyDescent="0.3">
      <c r="A69" s="13">
        <v>2025075937</v>
      </c>
      <c r="B69" s="13">
        <v>7541739</v>
      </c>
      <c r="C69" s="13" t="s">
        <v>8</v>
      </c>
      <c r="D69" s="13" t="s">
        <v>25</v>
      </c>
      <c r="E69" s="13">
        <v>1002525594</v>
      </c>
      <c r="F69" s="13">
        <v>26731</v>
      </c>
      <c r="G69" s="13" t="s">
        <v>10</v>
      </c>
      <c r="H69" s="13">
        <v>13016</v>
      </c>
      <c r="I69" s="14">
        <v>4566026</v>
      </c>
      <c r="J69" s="21"/>
      <c r="K69" s="21"/>
      <c r="L69" s="21"/>
      <c r="M69" s="21" t="e">
        <f>VLOOKUP(B:B,#REF!,1,0)</f>
        <v>#REF!</v>
      </c>
      <c r="N69" s="21">
        <v>7541739</v>
      </c>
      <c r="O69" s="21">
        <v>7541739</v>
      </c>
      <c r="P69" s="21">
        <v>7541739</v>
      </c>
      <c r="Q69" s="21"/>
    </row>
    <row r="70" spans="1:17" x14ac:dyDescent="0.3">
      <c r="A70" s="13">
        <v>2025074932</v>
      </c>
      <c r="B70" s="13">
        <v>7548149</v>
      </c>
      <c r="C70" s="13" t="s">
        <v>8</v>
      </c>
      <c r="D70" s="13" t="s">
        <v>23</v>
      </c>
      <c r="E70" s="13">
        <v>1015449218</v>
      </c>
      <c r="F70" s="13">
        <v>24438</v>
      </c>
      <c r="G70" s="13" t="s">
        <v>10</v>
      </c>
      <c r="H70" s="13">
        <v>13327</v>
      </c>
      <c r="I70" s="14">
        <v>4450232</v>
      </c>
      <c r="J70" s="52">
        <v>45922</v>
      </c>
      <c r="K70" s="21" t="s">
        <v>67</v>
      </c>
      <c r="L70" s="21"/>
      <c r="M70" s="21" t="e">
        <f>VLOOKUP(B:B,#REF!,1,0)</f>
        <v>#REF!</v>
      </c>
      <c r="N70" s="21">
        <v>7548149</v>
      </c>
      <c r="O70" s="21">
        <v>7548149</v>
      </c>
      <c r="P70" s="21">
        <v>7548149</v>
      </c>
      <c r="Q70" s="21"/>
    </row>
    <row r="71" spans="1:17" x14ac:dyDescent="0.3">
      <c r="A71" s="13">
        <v>2025078764</v>
      </c>
      <c r="B71" s="13">
        <v>486639</v>
      </c>
      <c r="C71" s="13" t="s">
        <v>8</v>
      </c>
      <c r="D71" s="13" t="s">
        <v>13</v>
      </c>
      <c r="E71" s="13">
        <v>52756032</v>
      </c>
      <c r="F71" s="13">
        <v>26668</v>
      </c>
      <c r="G71" s="13" t="s">
        <v>10</v>
      </c>
      <c r="H71" s="13">
        <v>52</v>
      </c>
      <c r="I71" s="14">
        <v>4245180</v>
      </c>
      <c r="J71" s="21"/>
      <c r="K71" s="21"/>
      <c r="L71" s="21"/>
      <c r="M71" s="21" t="e">
        <f>VLOOKUP(B:B,#REF!,1,0)</f>
        <v>#REF!</v>
      </c>
      <c r="N71" s="21">
        <v>486639</v>
      </c>
      <c r="O71" s="21">
        <v>486639</v>
      </c>
      <c r="P71" s="21">
        <v>486639</v>
      </c>
      <c r="Q71" s="21"/>
    </row>
    <row r="72" spans="1:17" x14ac:dyDescent="0.3">
      <c r="A72" s="13">
        <v>2025073896</v>
      </c>
      <c r="B72" s="13">
        <v>10872447</v>
      </c>
      <c r="C72" s="13" t="s">
        <v>8</v>
      </c>
      <c r="D72" s="13" t="s">
        <v>21</v>
      </c>
      <c r="E72" s="13">
        <v>1000727404</v>
      </c>
      <c r="F72" s="13">
        <v>24436</v>
      </c>
      <c r="G72" s="13" t="s">
        <v>10</v>
      </c>
      <c r="H72" s="13">
        <v>13122</v>
      </c>
      <c r="I72" s="14">
        <v>4208000</v>
      </c>
      <c r="J72" s="21"/>
      <c r="K72" s="21"/>
      <c r="L72" s="21"/>
      <c r="M72" s="21" t="e">
        <f>VLOOKUP(B:B,#REF!,1,0)</f>
        <v>#REF!</v>
      </c>
      <c r="N72" s="21">
        <v>10872447</v>
      </c>
      <c r="O72" s="21">
        <v>10872447</v>
      </c>
      <c r="P72" s="21">
        <v>10872447</v>
      </c>
      <c r="Q72" s="21"/>
    </row>
    <row r="73" spans="1:17" x14ac:dyDescent="0.3">
      <c r="A73" s="13">
        <v>2025077430</v>
      </c>
      <c r="B73" s="13">
        <v>7112746</v>
      </c>
      <c r="C73" s="13" t="s">
        <v>8</v>
      </c>
      <c r="D73" s="13" t="s">
        <v>18</v>
      </c>
      <c r="E73" s="13">
        <v>1032677388</v>
      </c>
      <c r="F73" s="13">
        <v>26623</v>
      </c>
      <c r="G73" s="13" t="s">
        <v>10</v>
      </c>
      <c r="H73" s="13">
        <v>1050</v>
      </c>
      <c r="I73" s="14">
        <v>4166600</v>
      </c>
      <c r="J73" s="21"/>
      <c r="K73" s="21"/>
      <c r="L73" s="21"/>
      <c r="M73" s="21" t="e">
        <f>VLOOKUP(B:B,#REF!,1,0)</f>
        <v>#REF!</v>
      </c>
      <c r="N73" s="21">
        <v>7112746</v>
      </c>
      <c r="O73" s="21">
        <v>7112746</v>
      </c>
      <c r="P73" s="21">
        <v>7112746</v>
      </c>
      <c r="Q73" s="21"/>
    </row>
    <row r="74" spans="1:17" x14ac:dyDescent="0.3">
      <c r="A74" s="13">
        <v>2025074872</v>
      </c>
      <c r="B74" s="13">
        <v>10133454</v>
      </c>
      <c r="C74" s="13" t="s">
        <v>8</v>
      </c>
      <c r="D74" s="13" t="s">
        <v>22</v>
      </c>
      <c r="E74" s="13">
        <v>1001116838</v>
      </c>
      <c r="F74" s="13">
        <v>27104</v>
      </c>
      <c r="G74" s="13" t="s">
        <v>10</v>
      </c>
      <c r="H74" s="13">
        <v>14067</v>
      </c>
      <c r="I74" s="14">
        <v>4161462</v>
      </c>
      <c r="J74" s="52">
        <v>45922</v>
      </c>
      <c r="K74" s="21" t="s">
        <v>67</v>
      </c>
      <c r="L74" s="21"/>
      <c r="M74" s="21" t="e">
        <f>VLOOKUP(B:B,#REF!,1,0)</f>
        <v>#REF!</v>
      </c>
      <c r="N74" s="21">
        <v>10133454</v>
      </c>
      <c r="O74" s="21">
        <v>10133454</v>
      </c>
      <c r="P74" s="21">
        <v>10133454</v>
      </c>
      <c r="Q74" s="21"/>
    </row>
    <row r="75" spans="1:17" x14ac:dyDescent="0.3">
      <c r="A75" s="13">
        <v>2025076138</v>
      </c>
      <c r="B75" s="13">
        <v>6084396</v>
      </c>
      <c r="C75" s="13" t="s">
        <v>8</v>
      </c>
      <c r="D75" s="13" t="s">
        <v>24</v>
      </c>
      <c r="E75" s="13">
        <v>1138074284</v>
      </c>
      <c r="F75" s="13">
        <v>27172</v>
      </c>
      <c r="G75" s="13" t="s">
        <v>10</v>
      </c>
      <c r="H75" s="13">
        <v>13364</v>
      </c>
      <c r="I75" s="14">
        <v>4157944</v>
      </c>
      <c r="J75" s="21"/>
      <c r="K75" s="21"/>
      <c r="L75" s="21"/>
      <c r="M75" s="21" t="e">
        <f>VLOOKUP(B:B,#REF!,1,0)</f>
        <v>#REF!</v>
      </c>
      <c r="N75" s="21">
        <v>6084396</v>
      </c>
      <c r="O75" s="21">
        <v>6084396</v>
      </c>
      <c r="P75" s="21">
        <v>6084396</v>
      </c>
      <c r="Q75" s="21"/>
    </row>
    <row r="76" spans="1:17" x14ac:dyDescent="0.3">
      <c r="A76" s="13">
        <v>2025078433</v>
      </c>
      <c r="B76" s="13">
        <v>10752488</v>
      </c>
      <c r="C76" s="13" t="s">
        <v>8</v>
      </c>
      <c r="D76" s="13" t="s">
        <v>17</v>
      </c>
      <c r="E76" s="13">
        <v>1014284618</v>
      </c>
      <c r="F76" s="13">
        <v>27083</v>
      </c>
      <c r="G76" s="13" t="s">
        <v>10</v>
      </c>
      <c r="H76" s="13">
        <v>13268</v>
      </c>
      <c r="I76" s="14">
        <v>4152640</v>
      </c>
      <c r="J76" s="52">
        <v>45922</v>
      </c>
      <c r="K76" s="21" t="s">
        <v>67</v>
      </c>
      <c r="L76" s="21"/>
      <c r="M76" s="21" t="e">
        <f>VLOOKUP(B:B,#REF!,1,0)</f>
        <v>#REF!</v>
      </c>
      <c r="N76" s="21">
        <v>10752488</v>
      </c>
      <c r="O76" s="21" t="e">
        <v>#N/A</v>
      </c>
      <c r="P76" s="21" t="e">
        <v>#N/A</v>
      </c>
      <c r="Q76" s="21"/>
    </row>
    <row r="77" spans="1:17" x14ac:dyDescent="0.3">
      <c r="A77" s="13">
        <v>2025071916</v>
      </c>
      <c r="B77" s="13">
        <v>11099245</v>
      </c>
      <c r="C77" s="13" t="s">
        <v>8</v>
      </c>
      <c r="D77" s="13" t="s">
        <v>19</v>
      </c>
      <c r="E77" s="13">
        <v>1024593276</v>
      </c>
      <c r="F77" s="13">
        <v>27068</v>
      </c>
      <c r="G77" s="13" t="s">
        <v>10</v>
      </c>
      <c r="H77" s="13">
        <v>12501</v>
      </c>
      <c r="I77" s="14">
        <v>4150000</v>
      </c>
      <c r="J77" s="21"/>
      <c r="K77" s="21"/>
      <c r="L77" s="21"/>
      <c r="M77" s="21" t="e">
        <f>VLOOKUP(B:B,#REF!,1,0)</f>
        <v>#REF!</v>
      </c>
      <c r="N77" s="21">
        <v>11099245</v>
      </c>
      <c r="O77" s="21">
        <v>11099245</v>
      </c>
      <c r="P77" s="21">
        <v>11099245</v>
      </c>
      <c r="Q77" s="21"/>
    </row>
    <row r="78" spans="1:17" x14ac:dyDescent="0.3">
      <c r="A78" s="13">
        <v>2025074065</v>
      </c>
      <c r="B78" s="13">
        <v>6193620</v>
      </c>
      <c r="C78" s="13" t="s">
        <v>8</v>
      </c>
      <c r="D78" s="13" t="s">
        <v>9</v>
      </c>
      <c r="E78" s="13">
        <v>1001275619</v>
      </c>
      <c r="F78" s="13">
        <v>27063</v>
      </c>
      <c r="G78" s="13" t="s">
        <v>10</v>
      </c>
      <c r="H78" s="13">
        <v>13150</v>
      </c>
      <c r="I78" s="14">
        <v>4140200</v>
      </c>
      <c r="J78" s="52">
        <v>45922</v>
      </c>
      <c r="K78" s="21" t="s">
        <v>67</v>
      </c>
      <c r="L78" s="21"/>
      <c r="M78" s="21" t="e">
        <f>VLOOKUP(B:B,#REF!,1,0)</f>
        <v>#REF!</v>
      </c>
      <c r="N78" s="21">
        <v>6193620</v>
      </c>
      <c r="O78" s="21">
        <v>6193620</v>
      </c>
      <c r="P78" s="21">
        <v>6193620</v>
      </c>
      <c r="Q78" s="21"/>
    </row>
    <row r="79" spans="1:17" x14ac:dyDescent="0.3">
      <c r="A79" s="13">
        <v>2025072434</v>
      </c>
      <c r="B79" s="13">
        <v>11237574</v>
      </c>
      <c r="C79" s="13" t="s">
        <v>8</v>
      </c>
      <c r="D79" s="13" t="s">
        <v>11</v>
      </c>
      <c r="E79" s="13">
        <v>1016106935</v>
      </c>
      <c r="F79" s="13">
        <v>27064</v>
      </c>
      <c r="G79" s="13" t="s">
        <v>10</v>
      </c>
      <c r="H79" s="13">
        <v>2005</v>
      </c>
      <c r="I79" s="14">
        <v>4140000</v>
      </c>
      <c r="J79" s="21"/>
      <c r="K79" s="21"/>
      <c r="L79" s="21"/>
      <c r="M79" s="21" t="e">
        <f>VLOOKUP(B:B,#REF!,1,0)</f>
        <v>#REF!</v>
      </c>
      <c r="N79" s="21">
        <v>11237574</v>
      </c>
      <c r="O79" s="21">
        <v>11237574</v>
      </c>
      <c r="P79" s="21">
        <v>11237574</v>
      </c>
      <c r="Q79" s="21"/>
    </row>
    <row r="80" spans="1:17" x14ac:dyDescent="0.3">
      <c r="A80" s="13">
        <v>2025076305</v>
      </c>
      <c r="B80" s="13">
        <v>10355500</v>
      </c>
      <c r="C80" s="13" t="s">
        <v>8</v>
      </c>
      <c r="D80" s="13" t="s">
        <v>27</v>
      </c>
      <c r="E80" s="13">
        <v>1000218098</v>
      </c>
      <c r="F80" s="13">
        <v>26786</v>
      </c>
      <c r="G80" s="13" t="s">
        <v>10</v>
      </c>
      <c r="H80" s="13">
        <v>13033</v>
      </c>
      <c r="I80" s="14">
        <v>4138652</v>
      </c>
      <c r="J80" s="21"/>
      <c r="K80" s="21"/>
      <c r="L80" s="21"/>
      <c r="M80" s="21" t="e">
        <f>VLOOKUP(B:B,#REF!,1,0)</f>
        <v>#REF!</v>
      </c>
      <c r="N80" s="21">
        <v>10355500</v>
      </c>
      <c r="O80" s="21">
        <v>10355500</v>
      </c>
      <c r="P80" s="21">
        <v>10355500</v>
      </c>
      <c r="Q80" s="21"/>
    </row>
    <row r="81" spans="1:17" x14ac:dyDescent="0.3">
      <c r="A81" s="13">
        <v>2025079758</v>
      </c>
      <c r="B81" s="13">
        <v>11282070</v>
      </c>
      <c r="C81" s="13" t="s">
        <v>8</v>
      </c>
      <c r="D81" s="13" t="s">
        <v>15</v>
      </c>
      <c r="E81" s="13">
        <v>1012434013</v>
      </c>
      <c r="F81" s="13">
        <v>26735</v>
      </c>
      <c r="G81" s="13" t="s">
        <v>10</v>
      </c>
      <c r="H81" s="13">
        <v>12166</v>
      </c>
      <c r="I81" s="14">
        <v>4123268</v>
      </c>
      <c r="J81" s="21"/>
      <c r="K81" s="21"/>
      <c r="L81" s="21"/>
      <c r="M81" s="21" t="e">
        <f>VLOOKUP(B:B,#REF!,1,0)</f>
        <v>#REF!</v>
      </c>
      <c r="N81" s="21">
        <v>11282070</v>
      </c>
      <c r="O81" s="21">
        <v>11282070</v>
      </c>
      <c r="P81" s="21">
        <v>11282070</v>
      </c>
      <c r="Q81" s="21"/>
    </row>
    <row r="82" spans="1:17" x14ac:dyDescent="0.3">
      <c r="A82" s="13">
        <v>2025079892</v>
      </c>
      <c r="B82" s="13">
        <v>4875009</v>
      </c>
      <c r="C82" s="13" t="s">
        <v>8</v>
      </c>
      <c r="D82" s="13" t="s">
        <v>14</v>
      </c>
      <c r="E82" s="13">
        <v>1033685482</v>
      </c>
      <c r="F82" s="13">
        <v>24441</v>
      </c>
      <c r="G82" s="13" t="s">
        <v>10</v>
      </c>
      <c r="H82" s="13">
        <v>602</v>
      </c>
      <c r="I82" s="14">
        <v>4122572</v>
      </c>
      <c r="J82" s="52">
        <v>45922</v>
      </c>
      <c r="K82" s="21" t="s">
        <v>67</v>
      </c>
      <c r="L82" s="21"/>
      <c r="M82" s="21" t="e">
        <f>VLOOKUP(B:B,#REF!,1,0)</f>
        <v>#REF!</v>
      </c>
      <c r="N82" s="21">
        <v>4875009</v>
      </c>
      <c r="O82" s="21">
        <v>4875009</v>
      </c>
      <c r="P82" s="21">
        <v>4875009</v>
      </c>
      <c r="Q82" s="21"/>
    </row>
    <row r="83" spans="1:17" x14ac:dyDescent="0.3">
      <c r="A83" s="13">
        <v>2025077475</v>
      </c>
      <c r="B83" s="13">
        <v>6575755</v>
      </c>
      <c r="C83" s="13" t="s">
        <v>8</v>
      </c>
      <c r="D83" s="13" t="s">
        <v>20</v>
      </c>
      <c r="E83" s="13">
        <v>52837437</v>
      </c>
      <c r="F83" s="13">
        <v>26730</v>
      </c>
      <c r="G83" s="13" t="s">
        <v>10</v>
      </c>
      <c r="H83" s="13">
        <v>447</v>
      </c>
      <c r="I83" s="14">
        <v>4121203</v>
      </c>
      <c r="J83" s="21"/>
      <c r="K83" s="21"/>
      <c r="L83" s="21"/>
      <c r="M83" s="21" t="e">
        <f>VLOOKUP(B:B,#REF!,1,0)</f>
        <v>#REF!</v>
      </c>
      <c r="N83" s="21">
        <v>6575755</v>
      </c>
      <c r="O83" s="21">
        <v>6575755</v>
      </c>
      <c r="P83" s="21">
        <v>6575755</v>
      </c>
      <c r="Q83" s="21"/>
    </row>
    <row r="84" spans="1:17" x14ac:dyDescent="0.3">
      <c r="A84" s="13">
        <v>2025074586</v>
      </c>
      <c r="B84" s="13">
        <v>7112411</v>
      </c>
      <c r="C84" s="13" t="s">
        <v>8</v>
      </c>
      <c r="D84" s="13" t="s">
        <v>25</v>
      </c>
      <c r="E84" s="13">
        <v>1002525594</v>
      </c>
      <c r="F84" s="13">
        <v>26731</v>
      </c>
      <c r="G84" s="13" t="s">
        <v>10</v>
      </c>
      <c r="H84" s="13">
        <v>13090</v>
      </c>
      <c r="I84" s="14">
        <v>4120626</v>
      </c>
      <c r="J84" s="52">
        <v>45922</v>
      </c>
      <c r="K84" s="21" t="s">
        <v>67</v>
      </c>
      <c r="L84" s="21"/>
      <c r="M84" s="21" t="e">
        <f>VLOOKUP(B:B,#REF!,1,0)</f>
        <v>#REF!</v>
      </c>
      <c r="N84" s="21">
        <v>7112411</v>
      </c>
      <c r="O84" s="21">
        <v>7112411</v>
      </c>
      <c r="P84" s="21" t="e">
        <v>#N/A</v>
      </c>
      <c r="Q84" s="21"/>
    </row>
    <row r="85" spans="1:17" x14ac:dyDescent="0.3">
      <c r="A85" s="13">
        <v>2025077987</v>
      </c>
      <c r="B85" s="13">
        <v>10006778</v>
      </c>
      <c r="C85" s="13" t="s">
        <v>8</v>
      </c>
      <c r="D85" s="13" t="s">
        <v>23</v>
      </c>
      <c r="E85" s="13">
        <v>1015449218</v>
      </c>
      <c r="F85" s="13">
        <v>24438</v>
      </c>
      <c r="G85" s="13" t="s">
        <v>10</v>
      </c>
      <c r="H85" s="13">
        <v>175</v>
      </c>
      <c r="I85" s="14">
        <v>4103556</v>
      </c>
      <c r="J85" s="52">
        <v>45922</v>
      </c>
      <c r="K85" s="21" t="s">
        <v>67</v>
      </c>
      <c r="L85" s="21"/>
      <c r="M85" s="21" t="e">
        <f>VLOOKUP(B:B,#REF!,1,0)</f>
        <v>#REF!</v>
      </c>
      <c r="N85" s="21">
        <v>10006778</v>
      </c>
      <c r="O85" s="21" t="e">
        <v>#N/A</v>
      </c>
      <c r="P85" s="21" t="e">
        <v>#N/A</v>
      </c>
      <c r="Q85" s="21"/>
    </row>
    <row r="86" spans="1:17" x14ac:dyDescent="0.3">
      <c r="A86" s="13">
        <v>2025078522</v>
      </c>
      <c r="B86" s="13">
        <v>11160193</v>
      </c>
      <c r="C86" s="13" t="s">
        <v>8</v>
      </c>
      <c r="D86" s="13" t="s">
        <v>13</v>
      </c>
      <c r="E86" s="13">
        <v>52756032</v>
      </c>
      <c r="F86" s="13">
        <v>26668</v>
      </c>
      <c r="G86" s="13" t="s">
        <v>10</v>
      </c>
      <c r="H86" s="13">
        <v>1056</v>
      </c>
      <c r="I86" s="14">
        <v>3900000</v>
      </c>
      <c r="J86" s="21"/>
      <c r="K86" s="21"/>
      <c r="L86" s="21"/>
      <c r="M86" s="21" t="e">
        <f>VLOOKUP(B:B,#REF!,1,0)</f>
        <v>#REF!</v>
      </c>
      <c r="N86" s="21">
        <v>11160193</v>
      </c>
      <c r="O86" s="21">
        <v>11160193</v>
      </c>
      <c r="P86" s="21">
        <v>11160193</v>
      </c>
      <c r="Q86" s="21"/>
    </row>
    <row r="87" spans="1:17" x14ac:dyDescent="0.3">
      <c r="A87" s="13">
        <v>2025072352</v>
      </c>
      <c r="B87" s="13">
        <v>10405761</v>
      </c>
      <c r="C87" s="13" t="s">
        <v>8</v>
      </c>
      <c r="D87" s="13" t="s">
        <v>21</v>
      </c>
      <c r="E87" s="13">
        <v>1000727404</v>
      </c>
      <c r="F87" s="13">
        <v>24436</v>
      </c>
      <c r="G87" s="13" t="s">
        <v>10</v>
      </c>
      <c r="H87" s="13">
        <v>1871</v>
      </c>
      <c r="I87" s="14">
        <v>3887582</v>
      </c>
      <c r="J87" s="21"/>
      <c r="K87" s="21"/>
      <c r="L87" s="21"/>
      <c r="M87" s="21" t="e">
        <f>VLOOKUP(B:B,#REF!,1,0)</f>
        <v>#REF!</v>
      </c>
      <c r="N87" s="21">
        <v>10405761</v>
      </c>
      <c r="O87" s="21">
        <v>10405761</v>
      </c>
      <c r="P87" s="21">
        <v>10405761</v>
      </c>
      <c r="Q87" s="21"/>
    </row>
    <row r="88" spans="1:17" x14ac:dyDescent="0.3">
      <c r="A88" s="13">
        <v>2025078594</v>
      </c>
      <c r="B88" s="13">
        <v>7267347</v>
      </c>
      <c r="C88" s="13" t="s">
        <v>8</v>
      </c>
      <c r="D88" s="13" t="s">
        <v>18</v>
      </c>
      <c r="E88" s="13">
        <v>1032677388</v>
      </c>
      <c r="F88" s="13">
        <v>26623</v>
      </c>
      <c r="G88" s="13" t="s">
        <v>10</v>
      </c>
      <c r="H88" s="13">
        <v>13556</v>
      </c>
      <c r="I88" s="14">
        <v>3845918</v>
      </c>
      <c r="J88" s="21"/>
      <c r="K88" s="21"/>
      <c r="L88" s="21"/>
      <c r="M88" s="21" t="e">
        <f>VLOOKUP(B:B,#REF!,1,0)</f>
        <v>#REF!</v>
      </c>
      <c r="N88" s="21">
        <v>7267347</v>
      </c>
      <c r="O88" s="21">
        <v>7267347</v>
      </c>
      <c r="P88" s="21">
        <v>7267347</v>
      </c>
      <c r="Q88" s="21"/>
    </row>
    <row r="89" spans="1:17" x14ac:dyDescent="0.3">
      <c r="A89" s="13">
        <v>2025075595</v>
      </c>
      <c r="B89" s="13">
        <v>10356913</v>
      </c>
      <c r="C89" s="13" t="s">
        <v>8</v>
      </c>
      <c r="D89" s="13" t="s">
        <v>22</v>
      </c>
      <c r="E89" s="13">
        <v>1001116838</v>
      </c>
      <c r="F89" s="13">
        <v>27104</v>
      </c>
      <c r="G89" s="13" t="s">
        <v>10</v>
      </c>
      <c r="H89" s="13">
        <v>200</v>
      </c>
      <c r="I89" s="14">
        <v>3836366</v>
      </c>
      <c r="J89" s="52">
        <v>45922</v>
      </c>
      <c r="K89" s="21" t="s">
        <v>67</v>
      </c>
      <c r="L89" s="21"/>
      <c r="M89" s="21" t="e">
        <f>VLOOKUP(B:B,#REF!,1,0)</f>
        <v>#REF!</v>
      </c>
      <c r="N89" s="21">
        <v>10356913</v>
      </c>
      <c r="O89" s="21">
        <v>10356913</v>
      </c>
      <c r="P89" s="21">
        <v>10356913</v>
      </c>
      <c r="Q89" s="21"/>
    </row>
    <row r="90" spans="1:17" x14ac:dyDescent="0.3">
      <c r="A90" s="13">
        <v>2025074643</v>
      </c>
      <c r="B90" s="13">
        <v>6394413</v>
      </c>
      <c r="C90" s="13" t="s">
        <v>8</v>
      </c>
      <c r="D90" s="13" t="s">
        <v>24</v>
      </c>
      <c r="E90" s="13">
        <v>1138074284</v>
      </c>
      <c r="F90" s="13">
        <v>27172</v>
      </c>
      <c r="G90" s="13" t="s">
        <v>10</v>
      </c>
      <c r="H90" s="13">
        <v>13078</v>
      </c>
      <c r="I90" s="14">
        <v>3836346</v>
      </c>
      <c r="J90" s="21"/>
      <c r="K90" s="21"/>
      <c r="L90" s="21"/>
      <c r="M90" s="21" t="e">
        <f>VLOOKUP(B:B,#REF!,1,0)</f>
        <v>#REF!</v>
      </c>
      <c r="N90" s="21">
        <v>6394413</v>
      </c>
      <c r="O90" s="21">
        <v>6394413</v>
      </c>
      <c r="P90" s="21">
        <v>6394413</v>
      </c>
      <c r="Q90" s="21"/>
    </row>
    <row r="91" spans="1:17" x14ac:dyDescent="0.3">
      <c r="A91" s="13">
        <v>2025072696</v>
      </c>
      <c r="B91" s="13">
        <v>6493188</v>
      </c>
      <c r="C91" s="13" t="s">
        <v>8</v>
      </c>
      <c r="D91" s="13" t="s">
        <v>17</v>
      </c>
      <c r="E91" s="13">
        <v>1014284618</v>
      </c>
      <c r="F91" s="13">
        <v>27083</v>
      </c>
      <c r="G91" s="13" t="s">
        <v>10</v>
      </c>
      <c r="H91" s="13">
        <v>1720</v>
      </c>
      <c r="I91" s="14">
        <v>3834592</v>
      </c>
      <c r="J91" s="21"/>
      <c r="K91" s="21"/>
      <c r="L91" s="21"/>
      <c r="M91" s="21" t="e">
        <f>VLOOKUP(B:B,#REF!,1,0)</f>
        <v>#REF!</v>
      </c>
      <c r="N91" s="21">
        <v>6493188</v>
      </c>
      <c r="O91" s="21">
        <v>6493188</v>
      </c>
      <c r="P91" s="21">
        <v>6493188</v>
      </c>
      <c r="Q91" s="21"/>
    </row>
    <row r="92" spans="1:17" x14ac:dyDescent="0.3">
      <c r="A92" s="13">
        <v>2025077484</v>
      </c>
      <c r="B92" s="13">
        <v>11550725</v>
      </c>
      <c r="C92" s="13" t="s">
        <v>8</v>
      </c>
      <c r="D92" s="13" t="s">
        <v>9</v>
      </c>
      <c r="E92" s="13">
        <v>1001275619</v>
      </c>
      <c r="F92" s="13">
        <v>27063</v>
      </c>
      <c r="G92" s="13" t="s">
        <v>10</v>
      </c>
      <c r="H92" s="13">
        <v>483</v>
      </c>
      <c r="I92" s="14">
        <v>3830000</v>
      </c>
      <c r="J92" s="21"/>
      <c r="K92" s="21"/>
      <c r="L92" s="21"/>
      <c r="M92" s="21" t="e">
        <f>VLOOKUP(B:B,#REF!,1,0)</f>
        <v>#REF!</v>
      </c>
      <c r="N92" s="21">
        <v>11550725</v>
      </c>
      <c r="O92" s="21">
        <v>11550725</v>
      </c>
      <c r="P92" s="21">
        <v>11550725</v>
      </c>
      <c r="Q92" s="21"/>
    </row>
    <row r="93" spans="1:17" x14ac:dyDescent="0.3">
      <c r="A93" s="13">
        <v>2025077170</v>
      </c>
      <c r="B93" s="13">
        <v>5972613</v>
      </c>
      <c r="C93" s="13" t="s">
        <v>8</v>
      </c>
      <c r="D93" s="13" t="s">
        <v>11</v>
      </c>
      <c r="E93" s="13">
        <v>1016106935</v>
      </c>
      <c r="F93" s="13">
        <v>27064</v>
      </c>
      <c r="G93" s="13" t="s">
        <v>10</v>
      </c>
      <c r="H93" s="13">
        <v>857</v>
      </c>
      <c r="I93" s="14">
        <v>3829780</v>
      </c>
      <c r="J93" s="52">
        <v>45922</v>
      </c>
      <c r="K93" s="21" t="s">
        <v>87</v>
      </c>
      <c r="L93" s="21"/>
      <c r="M93" s="21" t="e">
        <f>VLOOKUP(B:B,#REF!,1,0)</f>
        <v>#REF!</v>
      </c>
      <c r="N93" s="21">
        <v>5972613</v>
      </c>
      <c r="O93" s="21" t="e">
        <v>#N/A</v>
      </c>
      <c r="P93" s="21" t="e">
        <v>#N/A</v>
      </c>
      <c r="Q93" s="21"/>
    </row>
    <row r="94" spans="1:17" x14ac:dyDescent="0.3">
      <c r="A94" s="13">
        <v>2025077668</v>
      </c>
      <c r="B94" s="13">
        <v>10413307</v>
      </c>
      <c r="C94" s="13" t="s">
        <v>8</v>
      </c>
      <c r="D94" s="13" t="s">
        <v>19</v>
      </c>
      <c r="E94" s="13">
        <v>1024593276</v>
      </c>
      <c r="F94" s="13">
        <v>27068</v>
      </c>
      <c r="G94" s="13" t="s">
        <v>10</v>
      </c>
      <c r="H94" s="13">
        <v>11352</v>
      </c>
      <c r="I94" s="14">
        <v>3826952</v>
      </c>
      <c r="J94" s="52">
        <v>45922</v>
      </c>
      <c r="K94" s="21" t="s">
        <v>67</v>
      </c>
      <c r="L94" s="21"/>
      <c r="M94" s="21" t="e">
        <f>VLOOKUP(B:B,#REF!,1,0)</f>
        <v>#REF!</v>
      </c>
      <c r="N94" s="21">
        <v>10413307</v>
      </c>
      <c r="O94" s="21">
        <v>10413307</v>
      </c>
      <c r="P94" s="21">
        <v>10413307</v>
      </c>
      <c r="Q94" s="21"/>
    </row>
    <row r="95" spans="1:17" x14ac:dyDescent="0.3">
      <c r="A95" s="13">
        <v>2025075925</v>
      </c>
      <c r="B95" s="13">
        <v>11593646</v>
      </c>
      <c r="C95" s="13" t="s">
        <v>8</v>
      </c>
      <c r="D95" s="13" t="s">
        <v>27</v>
      </c>
      <c r="E95" s="13">
        <v>1000218098</v>
      </c>
      <c r="F95" s="13">
        <v>26786</v>
      </c>
      <c r="G95" s="13" t="s">
        <v>10</v>
      </c>
      <c r="H95" s="13">
        <v>13033</v>
      </c>
      <c r="I95" s="14">
        <v>3824800</v>
      </c>
      <c r="J95" s="52">
        <v>45922</v>
      </c>
      <c r="K95" s="21" t="s">
        <v>67</v>
      </c>
      <c r="L95" s="21"/>
      <c r="M95" s="21" t="e">
        <f>VLOOKUP(B:B,#REF!,1,0)</f>
        <v>#REF!</v>
      </c>
      <c r="N95" s="21">
        <v>11593646</v>
      </c>
      <c r="O95" s="21">
        <v>11593646</v>
      </c>
      <c r="P95" s="21">
        <v>11593646</v>
      </c>
      <c r="Q95" s="21"/>
    </row>
    <row r="96" spans="1:17" x14ac:dyDescent="0.3">
      <c r="A96" s="13">
        <v>2025072337</v>
      </c>
      <c r="B96" s="13">
        <v>10789466</v>
      </c>
      <c r="C96" s="13" t="s">
        <v>8</v>
      </c>
      <c r="D96" s="13" t="s">
        <v>15</v>
      </c>
      <c r="E96" s="13">
        <v>1012434013</v>
      </c>
      <c r="F96" s="13">
        <v>26735</v>
      </c>
      <c r="G96" s="13" t="s">
        <v>10</v>
      </c>
      <c r="H96" s="13">
        <v>322</v>
      </c>
      <c r="I96" s="14">
        <v>3818400</v>
      </c>
      <c r="J96" s="21"/>
      <c r="K96" s="21"/>
      <c r="L96" s="21"/>
      <c r="M96" s="21" t="e">
        <f>VLOOKUP(B:B,#REF!,1,0)</f>
        <v>#REF!</v>
      </c>
      <c r="N96" s="21">
        <v>10789466</v>
      </c>
      <c r="O96" s="21">
        <v>10789466</v>
      </c>
      <c r="P96" s="21">
        <v>10789466</v>
      </c>
      <c r="Q96" s="21"/>
    </row>
    <row r="97" spans="1:17" x14ac:dyDescent="0.3">
      <c r="A97" s="13">
        <v>2025073395</v>
      </c>
      <c r="B97" s="13">
        <v>10240294</v>
      </c>
      <c r="C97" s="13" t="s">
        <v>8</v>
      </c>
      <c r="D97" s="13" t="s">
        <v>20</v>
      </c>
      <c r="E97" s="13">
        <v>52837437</v>
      </c>
      <c r="F97" s="13">
        <v>26730</v>
      </c>
      <c r="G97" s="13" t="s">
        <v>10</v>
      </c>
      <c r="H97" s="13">
        <v>13002</v>
      </c>
      <c r="I97" s="14">
        <v>3804948</v>
      </c>
      <c r="J97" s="21"/>
      <c r="K97" s="21"/>
      <c r="L97" s="21"/>
      <c r="M97" s="21" t="e">
        <f>VLOOKUP(B:B,#REF!,1,0)</f>
        <v>#REF!</v>
      </c>
      <c r="N97" s="21">
        <v>10240294</v>
      </c>
      <c r="O97" s="21">
        <v>10240294</v>
      </c>
      <c r="P97" s="21">
        <v>10240294</v>
      </c>
      <c r="Q97" s="21"/>
    </row>
    <row r="98" spans="1:17" x14ac:dyDescent="0.3">
      <c r="A98" s="13">
        <v>2025075109</v>
      </c>
      <c r="B98" s="13">
        <v>11429072</v>
      </c>
      <c r="C98" s="13" t="s">
        <v>8</v>
      </c>
      <c r="D98" s="13" t="s">
        <v>25</v>
      </c>
      <c r="E98" s="13">
        <v>1002525594</v>
      </c>
      <c r="F98" s="13">
        <v>26731</v>
      </c>
      <c r="G98" s="13" t="s">
        <v>10</v>
      </c>
      <c r="H98" s="13">
        <v>13443</v>
      </c>
      <c r="I98" s="14">
        <v>3800000</v>
      </c>
      <c r="J98" s="52">
        <v>45922</v>
      </c>
      <c r="K98" s="21" t="s">
        <v>67</v>
      </c>
      <c r="L98" s="21"/>
      <c r="M98" s="21" t="e">
        <f>VLOOKUP(B:B,#REF!,1,0)</f>
        <v>#REF!</v>
      </c>
      <c r="N98" s="21">
        <v>11429072</v>
      </c>
      <c r="O98" s="21">
        <v>11429072</v>
      </c>
      <c r="P98" s="21" t="e">
        <v>#N/A</v>
      </c>
      <c r="Q98" s="21"/>
    </row>
    <row r="99" spans="1:17" x14ac:dyDescent="0.3">
      <c r="A99" s="13">
        <v>2025074112</v>
      </c>
      <c r="B99" s="13">
        <v>11591609</v>
      </c>
      <c r="C99" s="13" t="s">
        <v>8</v>
      </c>
      <c r="D99" s="13" t="s">
        <v>14</v>
      </c>
      <c r="E99" s="13">
        <v>1033685482</v>
      </c>
      <c r="F99" s="13">
        <v>24441</v>
      </c>
      <c r="G99" s="13" t="s">
        <v>10</v>
      </c>
      <c r="H99" s="13">
        <v>2138</v>
      </c>
      <c r="I99" s="14">
        <v>3800000</v>
      </c>
      <c r="J99" s="21"/>
      <c r="K99" s="21"/>
      <c r="L99" s="21"/>
      <c r="M99" s="21" t="e">
        <f>VLOOKUP(B:B,#REF!,1,0)</f>
        <v>#REF!</v>
      </c>
      <c r="N99" s="21">
        <v>11591609</v>
      </c>
      <c r="O99" s="21">
        <v>11591609</v>
      </c>
      <c r="P99" s="21">
        <v>11591609</v>
      </c>
      <c r="Q99" s="21"/>
    </row>
    <row r="100" spans="1:17" x14ac:dyDescent="0.3">
      <c r="A100" s="13">
        <v>2025074198</v>
      </c>
      <c r="B100" s="13">
        <v>10204023</v>
      </c>
      <c r="C100" s="13" t="s">
        <v>8</v>
      </c>
      <c r="D100" s="13" t="s">
        <v>23</v>
      </c>
      <c r="E100" s="13">
        <v>1015449218</v>
      </c>
      <c r="F100" s="13">
        <v>24438</v>
      </c>
      <c r="G100" s="13" t="s">
        <v>10</v>
      </c>
      <c r="H100" s="13">
        <v>10526</v>
      </c>
      <c r="I100" s="14">
        <v>3726800</v>
      </c>
      <c r="J100" s="21"/>
      <c r="K100" s="21"/>
      <c r="L100" s="21"/>
      <c r="M100" s="21" t="e">
        <f>VLOOKUP(B:B,#REF!,1,0)</f>
        <v>#REF!</v>
      </c>
      <c r="N100" s="21">
        <v>10204023</v>
      </c>
      <c r="O100" s="21">
        <v>10204023</v>
      </c>
      <c r="P100" s="21">
        <v>10204023</v>
      </c>
      <c r="Q100" s="21"/>
    </row>
    <row r="101" spans="1:17" x14ac:dyDescent="0.3">
      <c r="A101" s="13">
        <v>2025078010</v>
      </c>
      <c r="B101" s="13">
        <v>10893416</v>
      </c>
      <c r="C101" s="13" t="s">
        <v>8</v>
      </c>
      <c r="D101" s="13" t="s">
        <v>13</v>
      </c>
      <c r="E101" s="13">
        <v>52756032</v>
      </c>
      <c r="F101" s="13">
        <v>26668</v>
      </c>
      <c r="G101" s="13" t="s">
        <v>10</v>
      </c>
      <c r="H101" s="13">
        <v>402</v>
      </c>
      <c r="I101" s="14">
        <v>3613680</v>
      </c>
      <c r="J101" s="21"/>
      <c r="K101" s="21"/>
      <c r="L101" s="21"/>
      <c r="M101" s="21" t="e">
        <f>VLOOKUP(B:B,#REF!,1,0)</f>
        <v>#REF!</v>
      </c>
      <c r="N101" s="21">
        <v>10893416</v>
      </c>
      <c r="O101" s="21">
        <v>10893416</v>
      </c>
      <c r="P101" s="21">
        <v>10893416</v>
      </c>
      <c r="Q101" s="21"/>
    </row>
    <row r="102" spans="1:17" x14ac:dyDescent="0.3">
      <c r="A102" s="13">
        <v>2025080653</v>
      </c>
      <c r="B102" s="13">
        <v>10806798</v>
      </c>
      <c r="C102" s="13" t="s">
        <v>8</v>
      </c>
      <c r="D102" s="13" t="s">
        <v>21</v>
      </c>
      <c r="E102" s="13">
        <v>1000727404</v>
      </c>
      <c r="F102" s="13">
        <v>24436</v>
      </c>
      <c r="G102" s="13" t="s">
        <v>10</v>
      </c>
      <c r="H102" s="13">
        <v>13577</v>
      </c>
      <c r="I102" s="14">
        <v>3608000</v>
      </c>
      <c r="J102" s="52">
        <v>45922</v>
      </c>
      <c r="K102" s="21" t="s">
        <v>67</v>
      </c>
      <c r="L102" s="21"/>
      <c r="M102" s="21" t="e">
        <f>VLOOKUP(B:B,#REF!,1,0)</f>
        <v>#REF!</v>
      </c>
      <c r="N102" s="21">
        <v>10806798</v>
      </c>
      <c r="O102" s="21">
        <v>10806798</v>
      </c>
      <c r="P102" s="21">
        <v>10806798</v>
      </c>
      <c r="Q102" s="21"/>
    </row>
    <row r="103" spans="1:17" x14ac:dyDescent="0.3">
      <c r="A103" s="13">
        <v>2025078673</v>
      </c>
      <c r="B103" s="13">
        <v>10176044</v>
      </c>
      <c r="C103" s="13" t="s">
        <v>8</v>
      </c>
      <c r="D103" s="13" t="s">
        <v>26</v>
      </c>
      <c r="E103" s="13">
        <v>1018439309</v>
      </c>
      <c r="F103" s="13">
        <v>23384</v>
      </c>
      <c r="G103" s="13" t="s">
        <v>10</v>
      </c>
      <c r="H103" s="13">
        <v>13434</v>
      </c>
      <c r="I103" s="14">
        <v>3602500</v>
      </c>
      <c r="J103" s="21"/>
      <c r="K103" s="21"/>
      <c r="L103" s="21"/>
      <c r="M103" s="21" t="e">
        <f>VLOOKUP(B:B,#REF!,1,0)</f>
        <v>#REF!</v>
      </c>
      <c r="N103" s="21">
        <v>10176044</v>
      </c>
      <c r="O103" s="21">
        <v>10176044</v>
      </c>
      <c r="P103" s="21">
        <v>10176044</v>
      </c>
      <c r="Q103" s="21"/>
    </row>
    <row r="104" spans="1:17" x14ac:dyDescent="0.3">
      <c r="A104" s="13">
        <v>2025078677</v>
      </c>
      <c r="B104" s="13">
        <v>11514836</v>
      </c>
      <c r="C104" s="13" t="s">
        <v>8</v>
      </c>
      <c r="D104" s="13" t="s">
        <v>65</v>
      </c>
      <c r="E104" s="13">
        <v>1000338067</v>
      </c>
      <c r="F104" s="13">
        <v>24433</v>
      </c>
      <c r="G104" s="13" t="s">
        <v>10</v>
      </c>
      <c r="H104" s="13">
        <v>13660</v>
      </c>
      <c r="I104" s="14">
        <v>3600000</v>
      </c>
      <c r="J104" s="52">
        <v>45922</v>
      </c>
      <c r="K104" s="21" t="s">
        <v>67</v>
      </c>
      <c r="L104" s="21"/>
      <c r="M104" s="21" t="e">
        <f>VLOOKUP(B:B,#REF!,1,0)</f>
        <v>#REF!</v>
      </c>
      <c r="N104" s="21">
        <v>11514836</v>
      </c>
      <c r="O104" s="21">
        <v>11514836</v>
      </c>
      <c r="P104" s="21">
        <v>11514836</v>
      </c>
      <c r="Q104" s="21"/>
    </row>
    <row r="105" spans="1:17" x14ac:dyDescent="0.3">
      <c r="A105" s="13">
        <v>2025072494</v>
      </c>
      <c r="B105" s="13">
        <v>7544489</v>
      </c>
      <c r="C105" s="13" t="s">
        <v>8</v>
      </c>
      <c r="D105" s="13" t="s">
        <v>18</v>
      </c>
      <c r="E105" s="13">
        <v>1032677388</v>
      </c>
      <c r="F105" s="13">
        <v>26623</v>
      </c>
      <c r="G105" s="13" t="s">
        <v>10</v>
      </c>
      <c r="H105" s="13">
        <v>13445</v>
      </c>
      <c r="I105" s="14">
        <v>3584384</v>
      </c>
      <c r="J105" s="21"/>
      <c r="K105" s="21"/>
      <c r="L105" s="21"/>
      <c r="M105" s="21" t="e">
        <f>VLOOKUP(B:B,#REF!,1,0)</f>
        <v>#REF!</v>
      </c>
      <c r="N105" s="21">
        <v>7544489</v>
      </c>
      <c r="O105" s="21">
        <v>7544489</v>
      </c>
      <c r="P105" s="21">
        <v>7544489</v>
      </c>
      <c r="Q105" s="21"/>
    </row>
    <row r="106" spans="1:17" x14ac:dyDescent="0.3">
      <c r="A106" s="13">
        <v>2025075432</v>
      </c>
      <c r="B106" s="13">
        <v>11121573</v>
      </c>
      <c r="C106" s="13" t="s">
        <v>8</v>
      </c>
      <c r="D106" s="13" t="s">
        <v>17</v>
      </c>
      <c r="E106" s="13">
        <v>1014284618</v>
      </c>
      <c r="F106" s="13">
        <v>27083</v>
      </c>
      <c r="G106" s="13" t="s">
        <v>10</v>
      </c>
      <c r="H106" s="13">
        <v>13803</v>
      </c>
      <c r="I106" s="14">
        <v>3576800</v>
      </c>
      <c r="J106" s="21"/>
      <c r="K106" s="21"/>
      <c r="L106" s="21"/>
      <c r="M106" s="21" t="e">
        <f>VLOOKUP(B:B,#REF!,1,0)</f>
        <v>#REF!</v>
      </c>
      <c r="N106" s="21" t="e">
        <v>#N/A</v>
      </c>
      <c r="O106" s="21">
        <v>11121573</v>
      </c>
      <c r="P106" s="21">
        <v>11121573</v>
      </c>
      <c r="Q106" s="21"/>
    </row>
    <row r="107" spans="1:17" x14ac:dyDescent="0.3">
      <c r="A107" s="13">
        <v>2025076229</v>
      </c>
      <c r="B107" s="13">
        <v>11099122</v>
      </c>
      <c r="C107" s="13" t="s">
        <v>8</v>
      </c>
      <c r="D107" s="13" t="s">
        <v>22</v>
      </c>
      <c r="E107" s="13">
        <v>1001116838</v>
      </c>
      <c r="F107" s="13">
        <v>27104</v>
      </c>
      <c r="G107" s="13" t="s">
        <v>10</v>
      </c>
      <c r="H107" s="13">
        <v>13380</v>
      </c>
      <c r="I107" s="14">
        <v>3576800</v>
      </c>
      <c r="J107" s="21"/>
      <c r="K107" s="21"/>
      <c r="L107" s="21"/>
      <c r="M107" s="21" t="e">
        <f>VLOOKUP(B:B,#REF!,1,0)</f>
        <v>#REF!</v>
      </c>
      <c r="N107" s="21">
        <v>11099122</v>
      </c>
      <c r="O107" s="21">
        <v>11099122</v>
      </c>
      <c r="P107" s="21">
        <v>11099122</v>
      </c>
      <c r="Q107" s="21"/>
    </row>
    <row r="108" spans="1:17" x14ac:dyDescent="0.3">
      <c r="A108" s="13">
        <v>2025079690</v>
      </c>
      <c r="B108" s="13">
        <v>11130245</v>
      </c>
      <c r="C108" s="13" t="s">
        <v>8</v>
      </c>
      <c r="D108" s="13" t="s">
        <v>24</v>
      </c>
      <c r="E108" s="13">
        <v>1138074284</v>
      </c>
      <c r="F108" s="13">
        <v>27172</v>
      </c>
      <c r="G108" s="13" t="s">
        <v>10</v>
      </c>
      <c r="H108" s="13">
        <v>692</v>
      </c>
      <c r="I108" s="14">
        <v>3576800</v>
      </c>
      <c r="J108" s="21"/>
      <c r="K108" s="21"/>
      <c r="L108" s="21"/>
      <c r="M108" s="21" t="e">
        <f>VLOOKUP(B:B,#REF!,1,0)</f>
        <v>#REF!</v>
      </c>
      <c r="N108" s="21">
        <v>11130245</v>
      </c>
      <c r="O108" s="21">
        <v>11130245</v>
      </c>
      <c r="P108" s="21">
        <v>11130245</v>
      </c>
      <c r="Q108" s="21"/>
    </row>
    <row r="109" spans="1:17" x14ac:dyDescent="0.3">
      <c r="A109" s="13">
        <v>2025072038</v>
      </c>
      <c r="B109" s="13">
        <v>10191036</v>
      </c>
      <c r="C109" s="13" t="s">
        <v>8</v>
      </c>
      <c r="D109" s="13" t="s">
        <v>9</v>
      </c>
      <c r="E109" s="13">
        <v>1001275619</v>
      </c>
      <c r="F109" s="13">
        <v>27063</v>
      </c>
      <c r="G109" s="13" t="s">
        <v>10</v>
      </c>
      <c r="H109" s="13">
        <v>678</v>
      </c>
      <c r="I109" s="14">
        <v>3575570</v>
      </c>
      <c r="J109" s="52">
        <v>45922</v>
      </c>
      <c r="K109" s="21" t="s">
        <v>67</v>
      </c>
      <c r="L109" s="21"/>
      <c r="M109" s="21" t="e">
        <f>VLOOKUP(B:B,#REF!,1,0)</f>
        <v>#REF!</v>
      </c>
      <c r="N109" s="21">
        <v>10191036</v>
      </c>
      <c r="O109" s="21" t="e">
        <v>#N/A</v>
      </c>
      <c r="P109" s="21" t="e">
        <v>#N/A</v>
      </c>
      <c r="Q109" s="21"/>
    </row>
    <row r="110" spans="1:17" x14ac:dyDescent="0.3">
      <c r="A110" s="13">
        <v>2025076421</v>
      </c>
      <c r="B110" s="13">
        <v>10226131</v>
      </c>
      <c r="C110" s="13" t="s">
        <v>8</v>
      </c>
      <c r="D110" s="13" t="s">
        <v>19</v>
      </c>
      <c r="E110" s="13">
        <v>1024593276</v>
      </c>
      <c r="F110" s="13">
        <v>27068</v>
      </c>
      <c r="G110" s="13" t="s">
        <v>10</v>
      </c>
      <c r="H110" s="13">
        <v>11111</v>
      </c>
      <c r="I110" s="14">
        <v>3575400</v>
      </c>
      <c r="J110" s="21"/>
      <c r="K110" s="21"/>
      <c r="L110" s="21"/>
      <c r="M110" s="21" t="e">
        <f>VLOOKUP(B:B,#REF!,1,0)</f>
        <v>#REF!</v>
      </c>
      <c r="N110" s="21">
        <v>10226131</v>
      </c>
      <c r="O110" s="21">
        <v>10226131</v>
      </c>
      <c r="P110" s="21">
        <v>10226131</v>
      </c>
      <c r="Q110" s="21"/>
    </row>
    <row r="111" spans="1:17" x14ac:dyDescent="0.3">
      <c r="A111" s="13">
        <v>2025077120</v>
      </c>
      <c r="B111" s="13">
        <v>7152375</v>
      </c>
      <c r="C111" s="13" t="s">
        <v>8</v>
      </c>
      <c r="D111" s="13" t="s">
        <v>27</v>
      </c>
      <c r="E111" s="13">
        <v>1000218098</v>
      </c>
      <c r="F111" s="13">
        <v>26786</v>
      </c>
      <c r="G111" s="13" t="s">
        <v>10</v>
      </c>
      <c r="H111" s="13">
        <v>665</v>
      </c>
      <c r="I111" s="14">
        <v>3571208</v>
      </c>
      <c r="J111" s="21"/>
      <c r="K111" s="21"/>
      <c r="L111" s="21"/>
      <c r="M111" s="21" t="e">
        <f>VLOOKUP(B:B,#REF!,1,0)</f>
        <v>#REF!</v>
      </c>
      <c r="N111" s="21">
        <v>7152375</v>
      </c>
      <c r="O111" s="21">
        <v>7152375</v>
      </c>
      <c r="P111" s="21">
        <v>7152375</v>
      </c>
      <c r="Q111" s="21"/>
    </row>
    <row r="112" spans="1:17" x14ac:dyDescent="0.3">
      <c r="A112" s="13">
        <v>2025074640</v>
      </c>
      <c r="B112" s="13">
        <v>7256815</v>
      </c>
      <c r="C112" s="13" t="s">
        <v>8</v>
      </c>
      <c r="D112" s="13" t="s">
        <v>11</v>
      </c>
      <c r="E112" s="13">
        <v>1016106935</v>
      </c>
      <c r="F112" s="13">
        <v>27064</v>
      </c>
      <c r="G112" s="13" t="s">
        <v>10</v>
      </c>
      <c r="H112" s="13">
        <v>13056</v>
      </c>
      <c r="I112" s="14">
        <v>3571208</v>
      </c>
      <c r="J112" s="21"/>
      <c r="K112" s="21"/>
      <c r="L112" s="21"/>
      <c r="M112" s="21" t="e">
        <f>VLOOKUP(B:B,#REF!,1,0)</f>
        <v>#REF!</v>
      </c>
      <c r="N112" s="21">
        <v>7256815</v>
      </c>
      <c r="O112" s="21">
        <v>7256815</v>
      </c>
      <c r="P112" s="21">
        <v>7256815</v>
      </c>
      <c r="Q112" s="21"/>
    </row>
    <row r="113" spans="1:17" x14ac:dyDescent="0.3">
      <c r="A113" s="13">
        <v>2025074007</v>
      </c>
      <c r="B113" s="13">
        <v>7079800</v>
      </c>
      <c r="C113" s="13" t="s">
        <v>8</v>
      </c>
      <c r="D113" s="13" t="s">
        <v>15</v>
      </c>
      <c r="E113" s="13">
        <v>1012434013</v>
      </c>
      <c r="F113" s="13">
        <v>26735</v>
      </c>
      <c r="G113" s="13" t="s">
        <v>10</v>
      </c>
      <c r="H113" s="13">
        <v>13150</v>
      </c>
      <c r="I113" s="14">
        <v>3571000</v>
      </c>
      <c r="J113" s="21"/>
      <c r="K113" s="21"/>
      <c r="L113" s="21"/>
      <c r="M113" s="21" t="e">
        <f>VLOOKUP(B:B,#REF!,1,0)</f>
        <v>#REF!</v>
      </c>
      <c r="N113" s="21" t="e">
        <v>#N/A</v>
      </c>
      <c r="O113" s="21">
        <v>7079800</v>
      </c>
      <c r="P113" s="21">
        <v>7079800</v>
      </c>
      <c r="Q113" s="21"/>
    </row>
    <row r="114" spans="1:17" x14ac:dyDescent="0.3">
      <c r="A114" s="13">
        <v>2025072121</v>
      </c>
      <c r="B114" s="13">
        <v>11343693</v>
      </c>
      <c r="C114" s="13" t="s">
        <v>8</v>
      </c>
      <c r="D114" s="13" t="s">
        <v>14</v>
      </c>
      <c r="E114" s="13">
        <v>1033685482</v>
      </c>
      <c r="F114" s="13">
        <v>24441</v>
      </c>
      <c r="G114" s="13" t="s">
        <v>10</v>
      </c>
      <c r="H114" s="13">
        <v>10003</v>
      </c>
      <c r="I114" s="14">
        <v>3570000</v>
      </c>
      <c r="J114" s="21"/>
      <c r="K114" s="21"/>
      <c r="L114" s="21"/>
      <c r="M114" s="21" t="e">
        <f>VLOOKUP(B:B,#REF!,1,0)</f>
        <v>#REF!</v>
      </c>
      <c r="N114" s="21">
        <v>11343693</v>
      </c>
      <c r="O114" s="21">
        <v>11343693</v>
      </c>
      <c r="P114" s="21">
        <v>11343693</v>
      </c>
      <c r="Q114" s="21"/>
    </row>
    <row r="115" spans="1:17" x14ac:dyDescent="0.3">
      <c r="A115" s="13">
        <v>2025077245</v>
      </c>
      <c r="B115" s="13">
        <v>11359800</v>
      </c>
      <c r="C115" s="13" t="s">
        <v>8</v>
      </c>
      <c r="D115" s="13" t="s">
        <v>20</v>
      </c>
      <c r="E115" s="13">
        <v>52837437</v>
      </c>
      <c r="F115" s="13">
        <v>26730</v>
      </c>
      <c r="G115" s="13" t="s">
        <v>10</v>
      </c>
      <c r="H115" s="13">
        <v>11113</v>
      </c>
      <c r="I115" s="14">
        <v>3570000</v>
      </c>
      <c r="J115" s="21"/>
      <c r="K115" s="21"/>
      <c r="L115" s="21"/>
      <c r="M115" s="21" t="e">
        <f>VLOOKUP(B:B,#REF!,1,0)</f>
        <v>#REF!</v>
      </c>
      <c r="N115" s="21">
        <v>11359800</v>
      </c>
      <c r="O115" s="21">
        <v>11359800</v>
      </c>
      <c r="P115" s="21">
        <v>11359800</v>
      </c>
      <c r="Q115" s="21"/>
    </row>
    <row r="116" spans="1:17" x14ac:dyDescent="0.3">
      <c r="A116" s="13">
        <v>2025078706</v>
      </c>
      <c r="B116" s="13">
        <v>10476436</v>
      </c>
      <c r="C116" s="13" t="s">
        <v>8</v>
      </c>
      <c r="D116" s="13" t="s">
        <v>25</v>
      </c>
      <c r="E116" s="13">
        <v>1002525594</v>
      </c>
      <c r="F116" s="13">
        <v>26731</v>
      </c>
      <c r="G116" s="13" t="s">
        <v>10</v>
      </c>
      <c r="H116" s="13">
        <v>13010</v>
      </c>
      <c r="I116" s="14">
        <v>3563840</v>
      </c>
      <c r="J116" s="52">
        <v>45922</v>
      </c>
      <c r="K116" s="21" t="s">
        <v>67</v>
      </c>
      <c r="L116" s="21"/>
      <c r="M116" s="21" t="e">
        <f>VLOOKUP(B:B,#REF!,1,0)</f>
        <v>#REF!</v>
      </c>
      <c r="N116" s="21">
        <v>10476436</v>
      </c>
      <c r="O116" s="21">
        <v>10476436</v>
      </c>
      <c r="P116" s="21" t="e">
        <v>#N/A</v>
      </c>
      <c r="Q116" s="21"/>
    </row>
    <row r="117" spans="1:17" x14ac:dyDescent="0.3">
      <c r="A117" s="13">
        <v>2025079174</v>
      </c>
      <c r="B117" s="13">
        <v>10767231</v>
      </c>
      <c r="C117" s="13" t="s">
        <v>8</v>
      </c>
      <c r="D117" s="13" t="s">
        <v>23</v>
      </c>
      <c r="E117" s="13">
        <v>1015449218</v>
      </c>
      <c r="F117" s="13">
        <v>24438</v>
      </c>
      <c r="G117" s="13" t="s">
        <v>10</v>
      </c>
      <c r="H117" s="13">
        <v>13051</v>
      </c>
      <c r="I117" s="14">
        <v>3497000</v>
      </c>
      <c r="J117" s="21"/>
      <c r="K117" s="21"/>
      <c r="L117" s="21"/>
      <c r="M117" s="21" t="e">
        <f>VLOOKUP(B:B,#REF!,1,0)</f>
        <v>#REF!</v>
      </c>
      <c r="N117" s="21">
        <v>10767231</v>
      </c>
      <c r="O117" s="21">
        <v>10767231</v>
      </c>
      <c r="P117" s="21">
        <v>10767231</v>
      </c>
      <c r="Q117" s="21"/>
    </row>
    <row r="118" spans="1:17" x14ac:dyDescent="0.3">
      <c r="A118" s="13">
        <v>2025075762</v>
      </c>
      <c r="B118" s="13">
        <v>7599815</v>
      </c>
      <c r="C118" s="13" t="s">
        <v>8</v>
      </c>
      <c r="D118" s="13" t="s">
        <v>13</v>
      </c>
      <c r="E118" s="13">
        <v>52756032</v>
      </c>
      <c r="F118" s="13">
        <v>26668</v>
      </c>
      <c r="G118" s="13" t="s">
        <v>10</v>
      </c>
      <c r="H118" s="13">
        <v>11114</v>
      </c>
      <c r="I118" s="14">
        <v>3411400</v>
      </c>
      <c r="J118" s="52">
        <v>45922</v>
      </c>
      <c r="K118" s="21" t="s">
        <v>67</v>
      </c>
      <c r="L118" s="21"/>
      <c r="M118" s="21" t="e">
        <f>VLOOKUP(B:B,#REF!,1,0)</f>
        <v>#REF!</v>
      </c>
      <c r="N118" s="21">
        <v>7599815</v>
      </c>
      <c r="O118" s="21">
        <v>7599815</v>
      </c>
      <c r="P118" s="21">
        <v>7599815</v>
      </c>
      <c r="Q118" s="21"/>
    </row>
    <row r="119" spans="1:17" x14ac:dyDescent="0.3">
      <c r="A119" s="13">
        <v>2025079491</v>
      </c>
      <c r="B119" s="13">
        <v>11578084</v>
      </c>
      <c r="C119" s="13" t="s">
        <v>8</v>
      </c>
      <c r="D119" s="13" t="s">
        <v>21</v>
      </c>
      <c r="E119" s="13">
        <v>1000727404</v>
      </c>
      <c r="F119" s="13">
        <v>24436</v>
      </c>
      <c r="G119" s="13" t="s">
        <v>10</v>
      </c>
      <c r="H119" s="13">
        <v>15092</v>
      </c>
      <c r="I119" s="14">
        <v>3400000</v>
      </c>
      <c r="J119" s="21"/>
      <c r="K119" s="21"/>
      <c r="L119" s="21"/>
      <c r="M119" s="21" t="e">
        <f>VLOOKUP(B:B,#REF!,1,0)</f>
        <v>#REF!</v>
      </c>
      <c r="N119" s="21">
        <v>11578084</v>
      </c>
      <c r="O119" s="21">
        <v>11578084</v>
      </c>
      <c r="P119" s="21">
        <v>11578084</v>
      </c>
      <c r="Q119" s="21"/>
    </row>
    <row r="120" spans="1:17" x14ac:dyDescent="0.3">
      <c r="A120" s="13">
        <v>2025076729</v>
      </c>
      <c r="B120" s="13">
        <v>11293962</v>
      </c>
      <c r="C120" s="13" t="s">
        <v>8</v>
      </c>
      <c r="D120" s="13" t="s">
        <v>65</v>
      </c>
      <c r="E120" s="13">
        <v>1000338067</v>
      </c>
      <c r="F120" s="13">
        <v>24433</v>
      </c>
      <c r="G120" s="13" t="s">
        <v>10</v>
      </c>
      <c r="H120" s="13">
        <v>14028</v>
      </c>
      <c r="I120" s="14">
        <v>3393880</v>
      </c>
      <c r="J120" s="21"/>
      <c r="K120" s="21"/>
      <c r="L120" s="21"/>
      <c r="M120" s="21" t="e">
        <f>VLOOKUP(B:B,#REF!,1,0)</f>
        <v>#REF!</v>
      </c>
      <c r="N120" s="21">
        <v>11293962</v>
      </c>
      <c r="O120" s="21">
        <v>11293962</v>
      </c>
      <c r="P120" s="21">
        <v>11293962</v>
      </c>
      <c r="Q120" s="21"/>
    </row>
    <row r="121" spans="1:17" x14ac:dyDescent="0.3">
      <c r="A121" s="13">
        <v>2025078524</v>
      </c>
      <c r="B121" s="13">
        <v>7106488</v>
      </c>
      <c r="C121" s="13" t="s">
        <v>8</v>
      </c>
      <c r="D121" s="13" t="s">
        <v>26</v>
      </c>
      <c r="E121" s="13">
        <v>1018439309</v>
      </c>
      <c r="F121" s="13">
        <v>23384</v>
      </c>
      <c r="G121" s="13" t="s">
        <v>10</v>
      </c>
      <c r="H121" s="13">
        <v>13010</v>
      </c>
      <c r="I121" s="14">
        <v>3392370</v>
      </c>
      <c r="J121" s="21"/>
      <c r="K121" s="21"/>
      <c r="L121" s="21"/>
      <c r="M121" s="21" t="e">
        <f>VLOOKUP(B:B,#REF!,1,0)</f>
        <v>#REF!</v>
      </c>
      <c r="N121" s="21">
        <v>7106488</v>
      </c>
      <c r="O121" s="21">
        <v>7106488</v>
      </c>
      <c r="P121" s="21">
        <v>7106488</v>
      </c>
      <c r="Q121" s="21"/>
    </row>
    <row r="122" spans="1:17" x14ac:dyDescent="0.3">
      <c r="A122" s="13">
        <v>2025075677</v>
      </c>
      <c r="B122" s="13">
        <v>11030062</v>
      </c>
      <c r="C122" s="13" t="s">
        <v>8</v>
      </c>
      <c r="D122" s="13" t="s">
        <v>22</v>
      </c>
      <c r="E122" s="13">
        <v>1001116838</v>
      </c>
      <c r="F122" s="13">
        <v>27104</v>
      </c>
      <c r="G122" s="13" t="s">
        <v>10</v>
      </c>
      <c r="H122" s="13">
        <v>13452</v>
      </c>
      <c r="I122" s="14">
        <v>3366400</v>
      </c>
      <c r="J122" s="52">
        <v>45924</v>
      </c>
      <c r="K122" s="21" t="s">
        <v>79</v>
      </c>
      <c r="L122" s="21"/>
      <c r="M122" s="21" t="e">
        <f>VLOOKUP(B:B,#REF!,1,0)</f>
        <v>#REF!</v>
      </c>
      <c r="N122" s="21">
        <v>11030062</v>
      </c>
      <c r="O122" s="21">
        <v>11030062</v>
      </c>
      <c r="P122" s="21" t="e">
        <v>#N/A</v>
      </c>
      <c r="Q122" s="21"/>
    </row>
    <row r="123" spans="1:17" x14ac:dyDescent="0.3">
      <c r="A123" s="13">
        <v>2025077495</v>
      </c>
      <c r="B123" s="13">
        <v>10897981</v>
      </c>
      <c r="C123" s="13" t="s">
        <v>8</v>
      </c>
      <c r="D123" s="13" t="s">
        <v>18</v>
      </c>
      <c r="E123" s="13">
        <v>1032677388</v>
      </c>
      <c r="F123" s="13">
        <v>26623</v>
      </c>
      <c r="G123" s="13" t="s">
        <v>10</v>
      </c>
      <c r="H123" s="13">
        <v>483</v>
      </c>
      <c r="I123" s="14">
        <v>3366400</v>
      </c>
      <c r="J123" s="52">
        <v>45922</v>
      </c>
      <c r="K123" s="21" t="s">
        <v>67</v>
      </c>
      <c r="L123" s="21"/>
      <c r="M123" s="21" t="e">
        <f>VLOOKUP(B:B,#REF!,1,0)</f>
        <v>#REF!</v>
      </c>
      <c r="N123" s="21">
        <v>10897981</v>
      </c>
      <c r="O123" s="21">
        <v>10897981</v>
      </c>
      <c r="P123" s="21">
        <v>10897981</v>
      </c>
      <c r="Q123" s="21"/>
    </row>
    <row r="124" spans="1:17" x14ac:dyDescent="0.3">
      <c r="A124" s="13">
        <v>2025079704</v>
      </c>
      <c r="B124" s="13">
        <v>10141056</v>
      </c>
      <c r="C124" s="13" t="s">
        <v>8</v>
      </c>
      <c r="D124" s="13" t="s">
        <v>24</v>
      </c>
      <c r="E124" s="13">
        <v>1138074284</v>
      </c>
      <c r="F124" s="13">
        <v>27172</v>
      </c>
      <c r="G124" s="13" t="s">
        <v>10</v>
      </c>
      <c r="H124" s="13">
        <v>220</v>
      </c>
      <c r="I124" s="14">
        <v>3366000</v>
      </c>
      <c r="J124" s="21"/>
      <c r="K124" s="21"/>
      <c r="L124" s="21"/>
      <c r="M124" s="21" t="e">
        <f>VLOOKUP(B:B,#REF!,1,0)</f>
        <v>#REF!</v>
      </c>
      <c r="N124" s="21">
        <v>10141056</v>
      </c>
      <c r="O124" s="21">
        <v>10141056</v>
      </c>
      <c r="P124" s="21">
        <v>10141056</v>
      </c>
      <c r="Q124" s="21"/>
    </row>
    <row r="125" spans="1:17" x14ac:dyDescent="0.3">
      <c r="A125" s="13">
        <v>2025078338</v>
      </c>
      <c r="B125" s="13">
        <v>11518747</v>
      </c>
      <c r="C125" s="13" t="s">
        <v>8</v>
      </c>
      <c r="D125" s="13" t="s">
        <v>17</v>
      </c>
      <c r="E125" s="13">
        <v>1014284618</v>
      </c>
      <c r="F125" s="13">
        <v>27083</v>
      </c>
      <c r="G125" s="13" t="s">
        <v>10</v>
      </c>
      <c r="H125" s="13">
        <v>12267</v>
      </c>
      <c r="I125" s="14">
        <v>3366000</v>
      </c>
      <c r="J125" s="52">
        <v>45922</v>
      </c>
      <c r="K125" s="21" t="s">
        <v>67</v>
      </c>
      <c r="L125" s="21"/>
      <c r="M125" s="21" t="e">
        <f>VLOOKUP(B:B,#REF!,1,0)</f>
        <v>#REF!</v>
      </c>
      <c r="N125" s="21">
        <v>11518747</v>
      </c>
      <c r="O125" s="21">
        <v>11518747</v>
      </c>
      <c r="P125" s="21">
        <v>11518747</v>
      </c>
      <c r="Q125" s="21"/>
    </row>
    <row r="126" spans="1:17" x14ac:dyDescent="0.3">
      <c r="A126" s="13">
        <v>2025079172</v>
      </c>
      <c r="B126" s="13">
        <v>11383224</v>
      </c>
      <c r="C126" s="13" t="s">
        <v>8</v>
      </c>
      <c r="D126" s="13" t="s">
        <v>11</v>
      </c>
      <c r="E126" s="13">
        <v>1016106935</v>
      </c>
      <c r="F126" s="13">
        <v>27064</v>
      </c>
      <c r="G126" s="13" t="s">
        <v>10</v>
      </c>
      <c r="H126" s="13">
        <v>14156</v>
      </c>
      <c r="I126" s="14">
        <v>3350000</v>
      </c>
      <c r="J126" s="52">
        <v>45922</v>
      </c>
      <c r="K126" s="21" t="s">
        <v>67</v>
      </c>
      <c r="L126" s="21"/>
      <c r="M126" s="21" t="e">
        <f>VLOOKUP(B:B,#REF!,1,0)</f>
        <v>#REF!</v>
      </c>
      <c r="N126" s="21">
        <v>11383224</v>
      </c>
      <c r="O126" s="21">
        <v>11383224</v>
      </c>
      <c r="P126" s="21" t="e">
        <v>#N/A</v>
      </c>
      <c r="Q126" s="21"/>
    </row>
    <row r="127" spans="1:17" x14ac:dyDescent="0.3">
      <c r="A127" s="13">
        <v>2025076431</v>
      </c>
      <c r="B127" s="13">
        <v>10333507</v>
      </c>
      <c r="C127" s="13" t="s">
        <v>8</v>
      </c>
      <c r="D127" s="13" t="s">
        <v>9</v>
      </c>
      <c r="E127" s="13">
        <v>1001275619</v>
      </c>
      <c r="F127" s="13">
        <v>27063</v>
      </c>
      <c r="G127" s="13" t="s">
        <v>10</v>
      </c>
      <c r="H127" s="13">
        <v>13072</v>
      </c>
      <c r="I127" s="14">
        <v>3333914</v>
      </c>
      <c r="J127" s="21"/>
      <c r="K127" s="21"/>
      <c r="L127" s="21"/>
      <c r="M127" s="21" t="e">
        <f>VLOOKUP(B:B,#REF!,1,0)</f>
        <v>#REF!</v>
      </c>
      <c r="N127" s="21">
        <v>10333507</v>
      </c>
      <c r="O127" s="21">
        <v>10333507</v>
      </c>
      <c r="P127" s="21">
        <v>10333507</v>
      </c>
      <c r="Q127" s="21"/>
    </row>
    <row r="128" spans="1:17" x14ac:dyDescent="0.3">
      <c r="A128" s="13">
        <v>2025078216</v>
      </c>
      <c r="B128" s="13">
        <v>10858622</v>
      </c>
      <c r="C128" s="13" t="s">
        <v>8</v>
      </c>
      <c r="D128" s="13" t="s">
        <v>19</v>
      </c>
      <c r="E128" s="13">
        <v>1024593276</v>
      </c>
      <c r="F128" s="13">
        <v>27068</v>
      </c>
      <c r="G128" s="13" t="s">
        <v>10</v>
      </c>
      <c r="H128" s="13">
        <v>14078</v>
      </c>
      <c r="I128" s="14">
        <v>3332906</v>
      </c>
      <c r="J128" s="21"/>
      <c r="K128" s="21"/>
      <c r="L128" s="21"/>
      <c r="M128" s="21" t="e">
        <f>VLOOKUP(B:B,#REF!,1,0)</f>
        <v>#REF!</v>
      </c>
      <c r="N128" s="21">
        <v>10858622</v>
      </c>
      <c r="O128" s="21">
        <v>10858622</v>
      </c>
      <c r="P128" s="21">
        <v>10858622</v>
      </c>
      <c r="Q128" s="21"/>
    </row>
    <row r="129" spans="1:17" x14ac:dyDescent="0.3">
      <c r="A129" s="13">
        <v>2025076658</v>
      </c>
      <c r="B129" s="13">
        <v>10329671</v>
      </c>
      <c r="C129" s="13" t="s">
        <v>8</v>
      </c>
      <c r="D129" s="13" t="s">
        <v>27</v>
      </c>
      <c r="E129" s="13">
        <v>1000218098</v>
      </c>
      <c r="F129" s="13">
        <v>26786</v>
      </c>
      <c r="G129" s="13" t="s">
        <v>10</v>
      </c>
      <c r="H129" s="13">
        <v>11199</v>
      </c>
      <c r="I129" s="14">
        <v>3325200</v>
      </c>
      <c r="J129" s="21"/>
      <c r="K129" s="21"/>
      <c r="L129" s="21"/>
      <c r="M129" s="21" t="e">
        <f>VLOOKUP(B:B,#REF!,1,0)</f>
        <v>#REF!</v>
      </c>
      <c r="N129" s="21">
        <v>10329671</v>
      </c>
      <c r="O129" s="21">
        <v>10329671</v>
      </c>
      <c r="P129" s="21">
        <v>10329671</v>
      </c>
      <c r="Q129" s="21"/>
    </row>
    <row r="130" spans="1:17" x14ac:dyDescent="0.3">
      <c r="A130" s="13">
        <v>2025072415</v>
      </c>
      <c r="B130" s="13">
        <v>6708841</v>
      </c>
      <c r="C130" s="13" t="s">
        <v>8</v>
      </c>
      <c r="D130" s="13" t="s">
        <v>15</v>
      </c>
      <c r="E130" s="13">
        <v>1012434013</v>
      </c>
      <c r="F130" s="13">
        <v>26735</v>
      </c>
      <c r="G130" s="13" t="s">
        <v>10</v>
      </c>
      <c r="H130" s="13">
        <v>13218</v>
      </c>
      <c r="I130" s="14">
        <v>3320950</v>
      </c>
      <c r="J130" s="21"/>
      <c r="K130" s="21"/>
      <c r="L130" s="21"/>
      <c r="M130" s="21" t="e">
        <f>VLOOKUP(B:B,#REF!,1,0)</f>
        <v>#REF!</v>
      </c>
      <c r="N130" s="21">
        <v>6708841</v>
      </c>
      <c r="O130" s="21">
        <v>6708841</v>
      </c>
      <c r="P130" s="21">
        <v>6708841</v>
      </c>
      <c r="Q130" s="21"/>
    </row>
    <row r="131" spans="1:17" x14ac:dyDescent="0.3">
      <c r="A131" s="13">
        <v>2025078401</v>
      </c>
      <c r="B131" s="13">
        <v>6623922</v>
      </c>
      <c r="C131" s="13" t="s">
        <v>8</v>
      </c>
      <c r="D131" s="13" t="s">
        <v>14</v>
      </c>
      <c r="E131" s="13">
        <v>1033685482</v>
      </c>
      <c r="F131" s="13">
        <v>24441</v>
      </c>
      <c r="G131" s="13" t="s">
        <v>10</v>
      </c>
      <c r="H131" s="13">
        <v>10413</v>
      </c>
      <c r="I131" s="14">
        <v>3318104</v>
      </c>
      <c r="J131" s="21"/>
      <c r="K131" s="21"/>
      <c r="L131" s="21"/>
      <c r="M131" s="21" t="e">
        <f>VLOOKUP(B:B,#REF!,1,0)</f>
        <v>#REF!</v>
      </c>
      <c r="N131" s="21">
        <v>6623922</v>
      </c>
      <c r="O131" s="21">
        <v>6623922</v>
      </c>
      <c r="P131" s="21">
        <v>6623922</v>
      </c>
      <c r="Q131" s="21"/>
    </row>
    <row r="132" spans="1:17" x14ac:dyDescent="0.3">
      <c r="A132" s="13">
        <v>2025072538</v>
      </c>
      <c r="B132" s="13">
        <v>7660687</v>
      </c>
      <c r="C132" s="13" t="s">
        <v>8</v>
      </c>
      <c r="D132" s="13" t="s">
        <v>25</v>
      </c>
      <c r="E132" s="13">
        <v>1002525594</v>
      </c>
      <c r="F132" s="13">
        <v>26731</v>
      </c>
      <c r="G132" s="13" t="s">
        <v>10</v>
      </c>
      <c r="H132" s="13">
        <v>11315</v>
      </c>
      <c r="I132" s="14">
        <v>3317721</v>
      </c>
      <c r="J132" s="21"/>
      <c r="K132" s="21"/>
      <c r="L132" s="21"/>
      <c r="M132" s="21" t="e">
        <f>VLOOKUP(B:B,#REF!,1,0)</f>
        <v>#REF!</v>
      </c>
      <c r="N132" s="21">
        <v>7660687</v>
      </c>
      <c r="O132" s="21">
        <v>7660687</v>
      </c>
      <c r="P132" s="21">
        <v>7660687</v>
      </c>
      <c r="Q132" s="21"/>
    </row>
    <row r="133" spans="1:17" x14ac:dyDescent="0.3">
      <c r="A133" s="13">
        <v>2025079664</v>
      </c>
      <c r="B133" s="13">
        <v>11507211</v>
      </c>
      <c r="C133" s="13" t="s">
        <v>8</v>
      </c>
      <c r="D133" s="13" t="s">
        <v>20</v>
      </c>
      <c r="E133" s="13">
        <v>52837437</v>
      </c>
      <c r="F133" s="13">
        <v>26730</v>
      </c>
      <c r="G133" s="13" t="s">
        <v>10</v>
      </c>
      <c r="H133" s="13">
        <v>13463</v>
      </c>
      <c r="I133" s="14">
        <v>3314300</v>
      </c>
      <c r="J133" s="21"/>
      <c r="K133" s="21"/>
      <c r="L133" s="21"/>
      <c r="M133" s="21" t="e">
        <f>VLOOKUP(B:B,#REF!,1,0)</f>
        <v>#REF!</v>
      </c>
      <c r="N133" s="21">
        <v>11507211</v>
      </c>
      <c r="O133" s="21">
        <v>11507211</v>
      </c>
      <c r="P133" s="21">
        <v>11507211</v>
      </c>
      <c r="Q133" s="21"/>
    </row>
    <row r="134" spans="1:17" x14ac:dyDescent="0.3">
      <c r="A134" s="13">
        <v>2025074124</v>
      </c>
      <c r="B134" s="13">
        <v>7135996</v>
      </c>
      <c r="C134" s="13" t="s">
        <v>8</v>
      </c>
      <c r="D134" s="13" t="s">
        <v>23</v>
      </c>
      <c r="E134" s="13">
        <v>1015449218</v>
      </c>
      <c r="F134" s="13">
        <v>24438</v>
      </c>
      <c r="G134" s="13" t="s">
        <v>10</v>
      </c>
      <c r="H134" s="13">
        <v>11121</v>
      </c>
      <c r="I134" s="14">
        <v>3257774</v>
      </c>
      <c r="J134" s="21"/>
      <c r="K134" s="21"/>
      <c r="L134" s="21"/>
      <c r="M134" s="21" t="e">
        <f>VLOOKUP(B:B,#REF!,1,0)</f>
        <v>#REF!</v>
      </c>
      <c r="N134" s="21">
        <v>7135996</v>
      </c>
      <c r="O134" s="21">
        <v>7135996</v>
      </c>
      <c r="P134" s="21">
        <v>7135996</v>
      </c>
      <c r="Q134" s="21"/>
    </row>
    <row r="135" spans="1:17" x14ac:dyDescent="0.3">
      <c r="A135" s="13">
        <v>2025078665</v>
      </c>
      <c r="B135" s="13">
        <v>11350612</v>
      </c>
      <c r="C135" s="13" t="s">
        <v>8</v>
      </c>
      <c r="D135" s="13" t="s">
        <v>13</v>
      </c>
      <c r="E135" s="13">
        <v>52756032</v>
      </c>
      <c r="F135" s="13">
        <v>26668</v>
      </c>
      <c r="G135" s="13" t="s">
        <v>10</v>
      </c>
      <c r="H135" s="13">
        <v>13660</v>
      </c>
      <c r="I135" s="14">
        <v>3200000</v>
      </c>
      <c r="J135" s="21"/>
      <c r="K135" s="21"/>
      <c r="L135" s="21"/>
      <c r="M135" s="21" t="e">
        <f>VLOOKUP(B:B,#REF!,1,0)</f>
        <v>#REF!</v>
      </c>
      <c r="N135" s="21">
        <v>11350612</v>
      </c>
      <c r="O135" s="21">
        <v>11350612</v>
      </c>
      <c r="P135" s="21">
        <v>11350612</v>
      </c>
      <c r="Q135" s="21"/>
    </row>
    <row r="136" spans="1:17" x14ac:dyDescent="0.3">
      <c r="A136" s="13">
        <v>2025075354</v>
      </c>
      <c r="B136" s="13">
        <v>10265235</v>
      </c>
      <c r="C136" s="13" t="s">
        <v>8</v>
      </c>
      <c r="D136" s="13" t="s">
        <v>21</v>
      </c>
      <c r="E136" s="13">
        <v>1000727404</v>
      </c>
      <c r="F136" s="13">
        <v>24436</v>
      </c>
      <c r="G136" s="13" t="s">
        <v>10</v>
      </c>
      <c r="H136" s="13">
        <v>11525</v>
      </c>
      <c r="I136" s="14">
        <v>3178400</v>
      </c>
      <c r="J136" s="21"/>
      <c r="K136" s="21"/>
      <c r="L136" s="21"/>
      <c r="M136" s="21" t="e">
        <f>VLOOKUP(B:B,#REF!,1,0)</f>
        <v>#REF!</v>
      </c>
      <c r="N136" s="21">
        <v>10265235</v>
      </c>
      <c r="O136" s="21">
        <v>10265235</v>
      </c>
      <c r="P136" s="21">
        <v>10265235</v>
      </c>
      <c r="Q136" s="21"/>
    </row>
    <row r="137" spans="1:17" x14ac:dyDescent="0.3">
      <c r="A137" s="13">
        <v>2025077966</v>
      </c>
      <c r="B137" s="13">
        <v>7119618</v>
      </c>
      <c r="C137" s="13" t="s">
        <v>8</v>
      </c>
      <c r="D137" s="13" t="s">
        <v>65</v>
      </c>
      <c r="E137" s="13">
        <v>1000338067</v>
      </c>
      <c r="F137" s="13">
        <v>24433</v>
      </c>
      <c r="G137" s="13" t="s">
        <v>10</v>
      </c>
      <c r="H137" s="13">
        <v>13524</v>
      </c>
      <c r="I137" s="14">
        <v>3167290</v>
      </c>
      <c r="J137" s="52">
        <v>45922</v>
      </c>
      <c r="K137" s="21" t="s">
        <v>67</v>
      </c>
      <c r="L137" s="21"/>
      <c r="M137" s="21" t="e">
        <f>VLOOKUP(B:B,#REF!,1,0)</f>
        <v>#REF!</v>
      </c>
      <c r="N137" s="21">
        <v>7119618</v>
      </c>
      <c r="O137" s="21">
        <v>7119618</v>
      </c>
      <c r="P137" s="21">
        <v>7119618</v>
      </c>
      <c r="Q137" s="21"/>
    </row>
    <row r="138" spans="1:17" x14ac:dyDescent="0.3">
      <c r="A138" s="13">
        <v>2025074505</v>
      </c>
      <c r="B138" s="13">
        <v>6391709</v>
      </c>
      <c r="C138" s="13" t="s">
        <v>8</v>
      </c>
      <c r="D138" s="13" t="s">
        <v>26</v>
      </c>
      <c r="E138" s="13">
        <v>1018439309</v>
      </c>
      <c r="F138" s="13">
        <v>23384</v>
      </c>
      <c r="G138" s="13" t="s">
        <v>10</v>
      </c>
      <c r="H138" s="13">
        <v>13078</v>
      </c>
      <c r="I138" s="14">
        <v>3164418</v>
      </c>
      <c r="J138" s="21"/>
      <c r="K138" s="21"/>
      <c r="L138" s="21"/>
      <c r="M138" s="21" t="e">
        <f>VLOOKUP(B:B,#REF!,1,0)</f>
        <v>#REF!</v>
      </c>
      <c r="N138" s="21">
        <v>6391709</v>
      </c>
      <c r="O138" s="21">
        <v>6391709</v>
      </c>
      <c r="P138" s="21">
        <v>6391709</v>
      </c>
      <c r="Q138" s="21"/>
    </row>
    <row r="139" spans="1:17" x14ac:dyDescent="0.3">
      <c r="A139" s="13">
        <v>2025073356</v>
      </c>
      <c r="B139" s="13">
        <v>7779994</v>
      </c>
      <c r="C139" s="13" t="s">
        <v>8</v>
      </c>
      <c r="D139" s="13" t="s">
        <v>16</v>
      </c>
      <c r="E139" s="13">
        <v>1019115964</v>
      </c>
      <c r="F139" s="13">
        <v>23410</v>
      </c>
      <c r="G139" s="13" t="s">
        <v>10</v>
      </c>
      <c r="H139" s="13">
        <v>11096</v>
      </c>
      <c r="I139" s="14">
        <v>3150800</v>
      </c>
      <c r="J139" s="21"/>
      <c r="K139" s="21"/>
      <c r="L139" s="21"/>
      <c r="M139" s="21" t="e">
        <f>VLOOKUP(B:B,#REF!,1,0)</f>
        <v>#REF!</v>
      </c>
      <c r="N139" s="21">
        <v>7779994</v>
      </c>
      <c r="O139" s="21">
        <v>7779994</v>
      </c>
      <c r="P139" s="21">
        <v>7779994</v>
      </c>
      <c r="Q139" s="21"/>
    </row>
    <row r="140" spans="1:17" x14ac:dyDescent="0.3">
      <c r="A140" s="13">
        <v>2025073862</v>
      </c>
      <c r="B140" s="13">
        <v>5622808</v>
      </c>
      <c r="C140" s="13" t="s">
        <v>8</v>
      </c>
      <c r="D140" s="13" t="s">
        <v>18</v>
      </c>
      <c r="E140" s="13">
        <v>1032677388</v>
      </c>
      <c r="F140" s="13">
        <v>26623</v>
      </c>
      <c r="G140" s="13" t="s">
        <v>10</v>
      </c>
      <c r="H140" s="13">
        <v>10752</v>
      </c>
      <c r="I140" s="14">
        <v>3137186</v>
      </c>
      <c r="J140" s="21"/>
      <c r="K140" s="21"/>
      <c r="L140" s="21"/>
      <c r="M140" s="21" t="e">
        <f>VLOOKUP(B:B,#REF!,1,0)</f>
        <v>#REF!</v>
      </c>
      <c r="N140" s="21">
        <v>5622808</v>
      </c>
      <c r="O140" s="21">
        <v>5622808</v>
      </c>
      <c r="P140" s="21">
        <v>5622808</v>
      </c>
      <c r="Q140" s="21"/>
    </row>
    <row r="141" spans="1:17" x14ac:dyDescent="0.3">
      <c r="A141" s="13">
        <v>2025079453</v>
      </c>
      <c r="B141" s="13">
        <v>7329491</v>
      </c>
      <c r="C141" s="13" t="s">
        <v>8</v>
      </c>
      <c r="D141" s="13" t="s">
        <v>22</v>
      </c>
      <c r="E141" s="13">
        <v>1001116838</v>
      </c>
      <c r="F141" s="13">
        <v>27104</v>
      </c>
      <c r="G141" s="13" t="s">
        <v>10</v>
      </c>
      <c r="H141" s="13">
        <v>13299</v>
      </c>
      <c r="I141" s="14">
        <v>3133556</v>
      </c>
      <c r="J141" s="21"/>
      <c r="K141" s="21"/>
      <c r="L141" s="21"/>
      <c r="M141" s="21" t="e">
        <f>VLOOKUP(B:B,#REF!,1,0)</f>
        <v>#REF!</v>
      </c>
      <c r="N141" s="21">
        <v>7329491</v>
      </c>
      <c r="O141" s="21">
        <v>7329491</v>
      </c>
      <c r="P141" s="21">
        <v>7329491</v>
      </c>
      <c r="Q141" s="21"/>
    </row>
    <row r="142" spans="1:17" x14ac:dyDescent="0.3">
      <c r="A142" s="13">
        <v>2025071886</v>
      </c>
      <c r="B142" s="13">
        <v>5099631</v>
      </c>
      <c r="C142" s="13" t="s">
        <v>8</v>
      </c>
      <c r="D142" s="13" t="s">
        <v>24</v>
      </c>
      <c r="E142" s="13">
        <v>1138074284</v>
      </c>
      <c r="F142" s="13">
        <v>27172</v>
      </c>
      <c r="G142" s="13" t="s">
        <v>10</v>
      </c>
      <c r="H142" s="13">
        <v>114</v>
      </c>
      <c r="I142" s="14">
        <v>3132855</v>
      </c>
      <c r="J142" s="21"/>
      <c r="K142" s="21"/>
      <c r="L142" s="21"/>
      <c r="M142" s="21" t="e">
        <f>VLOOKUP(B:B,#REF!,1,0)</f>
        <v>#REF!</v>
      </c>
      <c r="N142" s="21">
        <v>5099631</v>
      </c>
      <c r="O142" s="21">
        <v>5099631</v>
      </c>
      <c r="P142" s="21">
        <v>5099631</v>
      </c>
      <c r="Q142" s="21"/>
    </row>
    <row r="143" spans="1:17" x14ac:dyDescent="0.3">
      <c r="A143" s="13">
        <v>2025078747</v>
      </c>
      <c r="B143" s="13">
        <v>10928527</v>
      </c>
      <c r="C143" s="13" t="s">
        <v>8</v>
      </c>
      <c r="D143" s="13" t="s">
        <v>19</v>
      </c>
      <c r="E143" s="13">
        <v>1024593276</v>
      </c>
      <c r="F143" s="13">
        <v>27068</v>
      </c>
      <c r="G143" s="13" t="s">
        <v>10</v>
      </c>
      <c r="H143" s="13">
        <v>11071</v>
      </c>
      <c r="I143" s="14">
        <v>3126000</v>
      </c>
      <c r="J143" s="21"/>
      <c r="K143" s="21"/>
      <c r="L143" s="21"/>
      <c r="M143" s="21" t="e">
        <f>VLOOKUP(B:B,#REF!,1,0)</f>
        <v>#REF!</v>
      </c>
      <c r="N143" s="21">
        <v>10928527</v>
      </c>
      <c r="O143" s="21">
        <v>10928527</v>
      </c>
      <c r="P143" s="21">
        <v>10928527</v>
      </c>
      <c r="Q143" s="21"/>
    </row>
    <row r="144" spans="1:17" x14ac:dyDescent="0.3">
      <c r="A144" s="13">
        <v>2025079277</v>
      </c>
      <c r="B144" s="13">
        <v>10735086</v>
      </c>
      <c r="C144" s="13" t="s">
        <v>8</v>
      </c>
      <c r="D144" s="13" t="s">
        <v>9</v>
      </c>
      <c r="E144" s="13">
        <v>1001275619</v>
      </c>
      <c r="F144" s="13">
        <v>27063</v>
      </c>
      <c r="G144" s="13" t="s">
        <v>10</v>
      </c>
      <c r="H144" s="13">
        <v>13268</v>
      </c>
      <c r="I144" s="14">
        <v>3125408</v>
      </c>
      <c r="J144" s="21"/>
      <c r="K144" s="21"/>
      <c r="L144" s="21"/>
      <c r="M144" s="21" t="e">
        <f>VLOOKUP(B:B,#REF!,1,0)</f>
        <v>#REF!</v>
      </c>
      <c r="N144" s="21">
        <v>10735086</v>
      </c>
      <c r="O144" s="21">
        <v>10735086</v>
      </c>
      <c r="P144" s="21" t="e">
        <v>#N/A</v>
      </c>
      <c r="Q144" s="21"/>
    </row>
    <row r="145" spans="1:17" x14ac:dyDescent="0.3">
      <c r="A145" s="13">
        <v>2025073152</v>
      </c>
      <c r="B145" s="13">
        <v>10138678</v>
      </c>
      <c r="C145" s="13" t="s">
        <v>8</v>
      </c>
      <c r="D145" s="13" t="s">
        <v>17</v>
      </c>
      <c r="E145" s="13">
        <v>1014284618</v>
      </c>
      <c r="F145" s="13">
        <v>27083</v>
      </c>
      <c r="G145" s="13" t="s">
        <v>10</v>
      </c>
      <c r="H145" s="13">
        <v>13142</v>
      </c>
      <c r="I145" s="14">
        <v>3121094</v>
      </c>
      <c r="J145" s="21"/>
      <c r="K145" s="21"/>
      <c r="L145" s="21"/>
      <c r="M145" s="21" t="e">
        <f>VLOOKUP(B:B,#REF!,1,0)</f>
        <v>#REF!</v>
      </c>
      <c r="N145" s="21">
        <v>10138678</v>
      </c>
      <c r="O145" s="21">
        <v>10138678</v>
      </c>
      <c r="P145" s="21">
        <v>10138678</v>
      </c>
      <c r="Q145" s="21"/>
    </row>
    <row r="146" spans="1:17" x14ac:dyDescent="0.3">
      <c r="A146" s="13">
        <v>2025073561</v>
      </c>
      <c r="B146" s="13">
        <v>10109204</v>
      </c>
      <c r="C146" s="13" t="s">
        <v>8</v>
      </c>
      <c r="D146" s="13" t="s">
        <v>15</v>
      </c>
      <c r="E146" s="13">
        <v>1012434013</v>
      </c>
      <c r="F146" s="13">
        <v>26735</v>
      </c>
      <c r="G146" s="13" t="s">
        <v>10</v>
      </c>
      <c r="H146" s="13">
        <v>15023</v>
      </c>
      <c r="I146" s="14">
        <v>3121094</v>
      </c>
      <c r="J146" s="21"/>
      <c r="K146" s="21"/>
      <c r="L146" s="21"/>
      <c r="M146" s="21" t="e">
        <f>VLOOKUP(B:B,#REF!,1,0)</f>
        <v>#REF!</v>
      </c>
      <c r="N146" s="21">
        <v>10109204</v>
      </c>
      <c r="O146" s="21">
        <v>10109204</v>
      </c>
      <c r="P146" s="21">
        <v>10109204</v>
      </c>
      <c r="Q146" s="21"/>
    </row>
    <row r="147" spans="1:17" x14ac:dyDescent="0.3">
      <c r="A147" s="13">
        <v>2025075097</v>
      </c>
      <c r="B147" s="13">
        <v>10089962</v>
      </c>
      <c r="C147" s="13" t="s">
        <v>8</v>
      </c>
      <c r="D147" s="13" t="s">
        <v>11</v>
      </c>
      <c r="E147" s="13">
        <v>1016106935</v>
      </c>
      <c r="F147" s="13">
        <v>27064</v>
      </c>
      <c r="G147" s="13" t="s">
        <v>10</v>
      </c>
      <c r="H147" s="13">
        <v>13327</v>
      </c>
      <c r="I147" s="14">
        <v>3121094</v>
      </c>
      <c r="J147" s="52">
        <v>45922</v>
      </c>
      <c r="K147" s="21" t="s">
        <v>67</v>
      </c>
      <c r="L147" s="21"/>
      <c r="M147" s="21" t="e">
        <f>VLOOKUP(B:B,#REF!,1,0)</f>
        <v>#REF!</v>
      </c>
      <c r="N147" s="21">
        <v>10089962</v>
      </c>
      <c r="O147" s="21">
        <v>10089962</v>
      </c>
      <c r="P147" s="21" t="e">
        <v>#N/A</v>
      </c>
      <c r="Q147" s="21"/>
    </row>
    <row r="148" spans="1:17" x14ac:dyDescent="0.3">
      <c r="A148" s="13">
        <v>2025078617</v>
      </c>
      <c r="B148" s="13">
        <v>7417230</v>
      </c>
      <c r="C148" s="13" t="s">
        <v>8</v>
      </c>
      <c r="D148" s="13" t="s">
        <v>27</v>
      </c>
      <c r="E148" s="13">
        <v>1000218098</v>
      </c>
      <c r="F148" s="13">
        <v>26786</v>
      </c>
      <c r="G148" s="13" t="s">
        <v>10</v>
      </c>
      <c r="H148" s="13">
        <v>13010</v>
      </c>
      <c r="I148" s="14">
        <v>3121094</v>
      </c>
      <c r="J148" s="52">
        <v>45922</v>
      </c>
      <c r="K148" s="21" t="s">
        <v>67</v>
      </c>
      <c r="L148" s="21"/>
      <c r="M148" s="21" t="e">
        <f>VLOOKUP(B:B,#REF!,1,0)</f>
        <v>#REF!</v>
      </c>
      <c r="N148" s="21">
        <v>7417230</v>
      </c>
      <c r="O148" s="21">
        <v>7417230</v>
      </c>
      <c r="P148" s="21">
        <v>7417230</v>
      </c>
      <c r="Q148" s="21"/>
    </row>
    <row r="149" spans="1:17" x14ac:dyDescent="0.3">
      <c r="A149" s="13">
        <v>2025074940</v>
      </c>
      <c r="B149" s="13">
        <v>10122186</v>
      </c>
      <c r="C149" s="13" t="s">
        <v>8</v>
      </c>
      <c r="D149" s="13" t="s">
        <v>14</v>
      </c>
      <c r="E149" s="13">
        <v>1033685482</v>
      </c>
      <c r="F149" s="13">
        <v>24441</v>
      </c>
      <c r="G149" s="13" t="s">
        <v>10</v>
      </c>
      <c r="H149" s="13">
        <v>13150</v>
      </c>
      <c r="I149" s="14">
        <v>3121000</v>
      </c>
      <c r="J149" s="21"/>
      <c r="K149" s="21"/>
      <c r="L149" s="21"/>
      <c r="M149" s="21" t="e">
        <f>VLOOKUP(B:B,#REF!,1,0)</f>
        <v>#REF!</v>
      </c>
      <c r="N149" s="21">
        <v>10122186</v>
      </c>
      <c r="O149" s="21">
        <v>10122186</v>
      </c>
      <c r="P149" s="21">
        <v>10122186</v>
      </c>
      <c r="Q149" s="21"/>
    </row>
    <row r="150" spans="1:17" x14ac:dyDescent="0.3">
      <c r="A150" s="13">
        <v>2025074123</v>
      </c>
      <c r="B150" s="13">
        <v>11563460</v>
      </c>
      <c r="C150" s="13" t="s">
        <v>8</v>
      </c>
      <c r="D150" s="13" t="s">
        <v>20</v>
      </c>
      <c r="E150" s="13">
        <v>52837437</v>
      </c>
      <c r="F150" s="13">
        <v>26730</v>
      </c>
      <c r="G150" s="13" t="s">
        <v>10</v>
      </c>
      <c r="H150" s="13">
        <v>13187</v>
      </c>
      <c r="I150" s="14">
        <v>3120000</v>
      </c>
      <c r="J150" s="21"/>
      <c r="K150" s="21"/>
      <c r="L150" s="21"/>
      <c r="M150" s="21" t="e">
        <f>VLOOKUP(B:B,#REF!,1,0)</f>
        <v>#REF!</v>
      </c>
      <c r="N150" s="21">
        <v>11563460</v>
      </c>
      <c r="O150" s="21">
        <v>11563460</v>
      </c>
      <c r="P150" s="21">
        <v>11563460</v>
      </c>
      <c r="Q150" s="21"/>
    </row>
    <row r="151" spans="1:17" x14ac:dyDescent="0.3">
      <c r="A151" s="13">
        <v>2025078820</v>
      </c>
      <c r="B151" s="13">
        <v>11036812</v>
      </c>
      <c r="C151" s="13" t="s">
        <v>8</v>
      </c>
      <c r="D151" s="13" t="s">
        <v>25</v>
      </c>
      <c r="E151" s="13">
        <v>1002525594</v>
      </c>
      <c r="F151" s="13">
        <v>26731</v>
      </c>
      <c r="G151" s="13" t="s">
        <v>10</v>
      </c>
      <c r="H151" s="13">
        <v>13010</v>
      </c>
      <c r="I151" s="14">
        <v>3113920</v>
      </c>
      <c r="J151" s="52">
        <v>45922</v>
      </c>
      <c r="K151" s="21" t="s">
        <v>67</v>
      </c>
      <c r="L151" s="21"/>
      <c r="M151" s="21" t="e">
        <f>VLOOKUP(B:B,#REF!,1,0)</f>
        <v>#REF!</v>
      </c>
      <c r="N151" s="21">
        <v>11036812</v>
      </c>
      <c r="O151" s="21">
        <v>11036812</v>
      </c>
      <c r="P151" s="21">
        <v>11036812</v>
      </c>
      <c r="Q151" s="21"/>
    </row>
    <row r="152" spans="1:17" x14ac:dyDescent="0.3">
      <c r="A152" s="13">
        <v>2025076157</v>
      </c>
      <c r="B152" s="13">
        <v>7542698</v>
      </c>
      <c r="C152" s="13" t="s">
        <v>8</v>
      </c>
      <c r="D152" s="13" t="s">
        <v>23</v>
      </c>
      <c r="E152" s="13">
        <v>1015449218</v>
      </c>
      <c r="F152" s="13">
        <v>24438</v>
      </c>
      <c r="G152" s="13" t="s">
        <v>10</v>
      </c>
      <c r="H152" s="13">
        <v>10456</v>
      </c>
      <c r="I152" s="14">
        <v>3070400</v>
      </c>
      <c r="J152" s="21"/>
      <c r="K152" s="21"/>
      <c r="L152" s="21"/>
      <c r="M152" s="21" t="e">
        <f>VLOOKUP(B:B,#REF!,1,0)</f>
        <v>#REF!</v>
      </c>
      <c r="N152" s="21">
        <v>7542698</v>
      </c>
      <c r="O152" s="21">
        <v>7542698</v>
      </c>
      <c r="P152" s="21">
        <v>7542698</v>
      </c>
      <c r="Q152" s="21"/>
    </row>
    <row r="153" spans="1:17" x14ac:dyDescent="0.3">
      <c r="A153" s="13">
        <v>2025079353</v>
      </c>
      <c r="B153" s="13">
        <v>11549707</v>
      </c>
      <c r="C153" s="13" t="s">
        <v>8</v>
      </c>
      <c r="D153" s="13" t="s">
        <v>13</v>
      </c>
      <c r="E153" s="13">
        <v>52756032</v>
      </c>
      <c r="F153" s="13">
        <v>26668</v>
      </c>
      <c r="G153" s="13" t="s">
        <v>10</v>
      </c>
      <c r="H153" s="13">
        <v>13466</v>
      </c>
      <c r="I153" s="14">
        <v>3000000</v>
      </c>
      <c r="J153" s="21"/>
      <c r="K153" s="21"/>
      <c r="L153" s="21"/>
      <c r="M153" s="21" t="e">
        <f>VLOOKUP(B:B,#REF!,1,0)</f>
        <v>#REF!</v>
      </c>
      <c r="N153" s="21">
        <v>11549707</v>
      </c>
      <c r="O153" s="21">
        <v>11549707</v>
      </c>
      <c r="P153" s="21">
        <v>11549707</v>
      </c>
      <c r="Q153" s="21"/>
    </row>
    <row r="154" spans="1:17" x14ac:dyDescent="0.3">
      <c r="A154" s="13">
        <v>2025074348</v>
      </c>
      <c r="B154" s="13">
        <v>10179455</v>
      </c>
      <c r="C154" s="13" t="s">
        <v>8</v>
      </c>
      <c r="D154" s="13" t="s">
        <v>21</v>
      </c>
      <c r="E154" s="13">
        <v>1000727404</v>
      </c>
      <c r="F154" s="13">
        <v>24436</v>
      </c>
      <c r="G154" s="13" t="s">
        <v>10</v>
      </c>
      <c r="H154" s="13">
        <v>13206</v>
      </c>
      <c r="I154" s="14">
        <v>2991048</v>
      </c>
      <c r="J154" s="21"/>
      <c r="K154" s="21"/>
      <c r="L154" s="21"/>
      <c r="M154" s="21" t="e">
        <f>VLOOKUP(B:B,#REF!,1,0)</f>
        <v>#REF!</v>
      </c>
      <c r="N154" s="21">
        <v>10179455</v>
      </c>
      <c r="O154" s="21">
        <v>10179455</v>
      </c>
      <c r="P154" s="21">
        <v>10179455</v>
      </c>
      <c r="Q154" s="21"/>
    </row>
    <row r="155" spans="1:17" x14ac:dyDescent="0.3">
      <c r="A155" s="13">
        <v>2025073840</v>
      </c>
      <c r="B155" s="13">
        <v>10723175</v>
      </c>
      <c r="C155" s="13" t="s">
        <v>8</v>
      </c>
      <c r="D155" s="13" t="s">
        <v>26</v>
      </c>
      <c r="E155" s="13">
        <v>1018439309</v>
      </c>
      <c r="F155" s="13">
        <v>23384</v>
      </c>
      <c r="G155" s="13" t="s">
        <v>10</v>
      </c>
      <c r="H155" s="13">
        <v>13122</v>
      </c>
      <c r="I155" s="14">
        <v>2989026</v>
      </c>
      <c r="J155" s="21"/>
      <c r="K155" s="21"/>
      <c r="L155" s="21"/>
      <c r="M155" s="21" t="e">
        <f>VLOOKUP(B:B,#REF!,1,0)</f>
        <v>#REF!</v>
      </c>
      <c r="N155" s="21">
        <v>10723175</v>
      </c>
      <c r="O155" s="21">
        <v>10723175</v>
      </c>
      <c r="P155" s="21">
        <v>10723175</v>
      </c>
      <c r="Q155" s="21"/>
    </row>
    <row r="156" spans="1:17" x14ac:dyDescent="0.3">
      <c r="A156" s="13">
        <v>2025078705</v>
      </c>
      <c r="B156" s="13">
        <v>10665252</v>
      </c>
      <c r="C156" s="13" t="s">
        <v>8</v>
      </c>
      <c r="D156" s="13" t="s">
        <v>65</v>
      </c>
      <c r="E156" s="13">
        <v>1000338067</v>
      </c>
      <c r="F156" s="13">
        <v>24433</v>
      </c>
      <c r="G156" s="13" t="s">
        <v>10</v>
      </c>
      <c r="H156" s="13">
        <v>13566</v>
      </c>
      <c r="I156" s="14">
        <v>2989000</v>
      </c>
      <c r="J156" s="21"/>
      <c r="K156" s="21"/>
      <c r="L156" s="21"/>
      <c r="M156" s="21" t="e">
        <f>VLOOKUP(B:B,#REF!,1,0)</f>
        <v>#REF!</v>
      </c>
      <c r="N156" s="21">
        <v>10665252</v>
      </c>
      <c r="O156" s="21">
        <v>10665252</v>
      </c>
      <c r="P156" s="21">
        <v>10665252</v>
      </c>
      <c r="Q156" s="21"/>
    </row>
    <row r="157" spans="1:17" x14ac:dyDescent="0.3">
      <c r="A157" s="13">
        <v>2025073915</v>
      </c>
      <c r="B157" s="13">
        <v>10224964</v>
      </c>
      <c r="C157" s="13" t="s">
        <v>8</v>
      </c>
      <c r="D157" s="13" t="s">
        <v>16</v>
      </c>
      <c r="E157" s="13">
        <v>1019115964</v>
      </c>
      <c r="F157" s="13">
        <v>23410</v>
      </c>
      <c r="G157" s="13" t="s">
        <v>10</v>
      </c>
      <c r="H157" s="13">
        <v>13130</v>
      </c>
      <c r="I157" s="14">
        <v>2966700</v>
      </c>
      <c r="J157" s="21"/>
      <c r="K157" s="21"/>
      <c r="L157" s="21"/>
      <c r="M157" s="21" t="e">
        <f>VLOOKUP(B:B,#REF!,1,0)</f>
        <v>#REF!</v>
      </c>
      <c r="N157" s="21">
        <v>10224964</v>
      </c>
      <c r="O157" s="21">
        <v>10224964</v>
      </c>
      <c r="P157" s="21">
        <v>10224964</v>
      </c>
      <c r="Q157" s="21"/>
    </row>
    <row r="158" spans="1:17" x14ac:dyDescent="0.3">
      <c r="A158" s="13">
        <v>2025078793</v>
      </c>
      <c r="B158" s="13">
        <v>6569170</v>
      </c>
      <c r="C158" s="13" t="s">
        <v>8</v>
      </c>
      <c r="D158" s="13" t="s">
        <v>18</v>
      </c>
      <c r="E158" s="13">
        <v>1032677388</v>
      </c>
      <c r="F158" s="13">
        <v>26623</v>
      </c>
      <c r="G158" s="13" t="s">
        <v>10</v>
      </c>
      <c r="H158" s="13">
        <v>11121</v>
      </c>
      <c r="I158" s="14">
        <v>2955602</v>
      </c>
      <c r="J158" s="21"/>
      <c r="K158" s="21"/>
      <c r="L158" s="21"/>
      <c r="M158" s="21" t="e">
        <f>VLOOKUP(B:B,#REF!,1,0)</f>
        <v>#REF!</v>
      </c>
      <c r="N158" s="21">
        <v>6569170</v>
      </c>
      <c r="O158" s="21">
        <v>6569170</v>
      </c>
      <c r="P158" s="21">
        <v>6569170</v>
      </c>
      <c r="Q158" s="21"/>
    </row>
    <row r="159" spans="1:17" x14ac:dyDescent="0.3">
      <c r="A159" s="13">
        <v>2025078389</v>
      </c>
      <c r="B159" s="13">
        <v>7274631</v>
      </c>
      <c r="C159" s="13" t="s">
        <v>8</v>
      </c>
      <c r="D159" s="13" t="s">
        <v>22</v>
      </c>
      <c r="E159" s="13">
        <v>1001116838</v>
      </c>
      <c r="F159" s="13">
        <v>27104</v>
      </c>
      <c r="G159" s="13" t="s">
        <v>10</v>
      </c>
      <c r="H159" s="13">
        <v>13401</v>
      </c>
      <c r="I159" s="14">
        <v>2954432</v>
      </c>
      <c r="J159" s="52">
        <v>45922</v>
      </c>
      <c r="K159" s="21" t="s">
        <v>67</v>
      </c>
      <c r="L159" s="21"/>
      <c r="M159" s="21" t="e">
        <f>VLOOKUP(B:B,#REF!,1,0)</f>
        <v>#REF!</v>
      </c>
      <c r="N159" s="21">
        <v>7274631</v>
      </c>
      <c r="O159" s="21">
        <v>7274631</v>
      </c>
      <c r="P159" s="21">
        <v>7274631</v>
      </c>
      <c r="Q159" s="21"/>
    </row>
    <row r="160" spans="1:17" x14ac:dyDescent="0.3">
      <c r="A160" s="13">
        <v>2025078080</v>
      </c>
      <c r="B160" s="13">
        <v>7666474</v>
      </c>
      <c r="C160" s="13" t="s">
        <v>8</v>
      </c>
      <c r="D160" s="13" t="s">
        <v>24</v>
      </c>
      <c r="E160" s="13">
        <v>1138074284</v>
      </c>
      <c r="F160" s="13">
        <v>27172</v>
      </c>
      <c r="G160" s="13" t="s">
        <v>10</v>
      </c>
      <c r="H160" s="13">
        <v>402</v>
      </c>
      <c r="I160" s="14">
        <v>2951976</v>
      </c>
      <c r="J160" s="21"/>
      <c r="K160" s="21"/>
      <c r="L160" s="21"/>
      <c r="M160" s="21" t="e">
        <f>VLOOKUP(B:B,#REF!,1,0)</f>
        <v>#REF!</v>
      </c>
      <c r="N160" s="21">
        <v>7666474</v>
      </c>
      <c r="O160" s="21">
        <v>7666474</v>
      </c>
      <c r="P160" s="21">
        <v>7666474</v>
      </c>
      <c r="Q160" s="21"/>
    </row>
    <row r="161" spans="1:17" x14ac:dyDescent="0.3">
      <c r="A161" s="13">
        <v>2025074778</v>
      </c>
      <c r="B161" s="13">
        <v>10812418</v>
      </c>
      <c r="C161" s="13" t="s">
        <v>8</v>
      </c>
      <c r="D161" s="13" t="s">
        <v>17</v>
      </c>
      <c r="E161" s="13">
        <v>1014284618</v>
      </c>
      <c r="F161" s="13">
        <v>27083</v>
      </c>
      <c r="G161" s="13" t="s">
        <v>10</v>
      </c>
      <c r="H161" s="13">
        <v>13150</v>
      </c>
      <c r="I161" s="14">
        <v>2950600</v>
      </c>
      <c r="J161" s="21"/>
      <c r="K161" s="21"/>
      <c r="L161" s="21"/>
      <c r="M161" s="21" t="e">
        <f>VLOOKUP(B:B,#REF!,1,0)</f>
        <v>#REF!</v>
      </c>
      <c r="N161" s="21">
        <v>10812418</v>
      </c>
      <c r="O161" s="21">
        <v>10812418</v>
      </c>
      <c r="P161" s="21">
        <v>10812418</v>
      </c>
      <c r="Q161" s="21"/>
    </row>
    <row r="162" spans="1:17" x14ac:dyDescent="0.3">
      <c r="A162" s="13">
        <v>2025074929</v>
      </c>
      <c r="B162" s="13">
        <v>10731373</v>
      </c>
      <c r="C162" s="13" t="s">
        <v>8</v>
      </c>
      <c r="D162" s="13" t="s">
        <v>9</v>
      </c>
      <c r="E162" s="13">
        <v>1001275619</v>
      </c>
      <c r="F162" s="13">
        <v>27063</v>
      </c>
      <c r="G162" s="13" t="s">
        <v>10</v>
      </c>
      <c r="H162" s="13">
        <v>13327</v>
      </c>
      <c r="I162" s="14">
        <v>2950560</v>
      </c>
      <c r="J162" s="21"/>
      <c r="K162" s="21"/>
      <c r="L162" s="21"/>
      <c r="M162" s="21" t="e">
        <f>VLOOKUP(B:B,#REF!,1,0)</f>
        <v>#REF!</v>
      </c>
      <c r="N162" s="21">
        <v>10731373</v>
      </c>
      <c r="O162" s="21">
        <v>10731373</v>
      </c>
      <c r="P162" s="21">
        <v>10731373</v>
      </c>
      <c r="Q162" s="21"/>
    </row>
    <row r="163" spans="1:17" x14ac:dyDescent="0.3">
      <c r="A163" s="13">
        <v>2025074002</v>
      </c>
      <c r="B163" s="13">
        <v>10732734</v>
      </c>
      <c r="C163" s="13" t="s">
        <v>8</v>
      </c>
      <c r="D163" s="13" t="s">
        <v>19</v>
      </c>
      <c r="E163" s="13">
        <v>1024593276</v>
      </c>
      <c r="F163" s="13">
        <v>27068</v>
      </c>
      <c r="G163" s="13" t="s">
        <v>10</v>
      </c>
      <c r="H163" s="13">
        <v>937</v>
      </c>
      <c r="I163" s="14">
        <v>2950560</v>
      </c>
      <c r="J163" s="21"/>
      <c r="K163" s="21"/>
      <c r="L163" s="21"/>
      <c r="M163" s="21" t="e">
        <f>VLOOKUP(B:B,#REF!,1,0)</f>
        <v>#REF!</v>
      </c>
      <c r="N163" s="21">
        <v>10732734</v>
      </c>
      <c r="O163" s="21">
        <v>10732734</v>
      </c>
      <c r="P163" s="21">
        <v>10732734</v>
      </c>
      <c r="Q163" s="21"/>
    </row>
    <row r="164" spans="1:17" x14ac:dyDescent="0.3">
      <c r="A164" s="13">
        <v>2025078619</v>
      </c>
      <c r="B164" s="13">
        <v>11237931</v>
      </c>
      <c r="C164" s="13" t="s">
        <v>8</v>
      </c>
      <c r="D164" s="13" t="s">
        <v>27</v>
      </c>
      <c r="E164" s="13">
        <v>1000218098</v>
      </c>
      <c r="F164" s="13">
        <v>26786</v>
      </c>
      <c r="G164" s="13" t="s">
        <v>10</v>
      </c>
      <c r="H164" s="13">
        <v>210</v>
      </c>
      <c r="I164" s="14">
        <v>2950000</v>
      </c>
      <c r="J164" s="52">
        <v>45922</v>
      </c>
      <c r="K164" s="21" t="s">
        <v>67</v>
      </c>
      <c r="L164" s="21"/>
      <c r="M164" s="21" t="e">
        <f>VLOOKUP(B:B,#REF!,1,0)</f>
        <v>#REF!</v>
      </c>
      <c r="N164" s="21">
        <v>11237931</v>
      </c>
      <c r="O164" s="21">
        <v>11237931</v>
      </c>
      <c r="P164" s="21">
        <v>11237931</v>
      </c>
      <c r="Q164" s="21"/>
    </row>
    <row r="165" spans="1:17" x14ac:dyDescent="0.3">
      <c r="A165" s="13">
        <v>2025076965</v>
      </c>
      <c r="B165" s="13">
        <v>7804867</v>
      </c>
      <c r="C165" s="13" t="s">
        <v>8</v>
      </c>
      <c r="D165" s="13" t="s">
        <v>11</v>
      </c>
      <c r="E165" s="13">
        <v>1016106935</v>
      </c>
      <c r="F165" s="13">
        <v>27064</v>
      </c>
      <c r="G165" s="13" t="s">
        <v>10</v>
      </c>
      <c r="H165" s="13">
        <v>1182</v>
      </c>
      <c r="I165" s="14">
        <v>2947000</v>
      </c>
      <c r="J165" s="21"/>
      <c r="K165" s="21"/>
      <c r="L165" s="21"/>
      <c r="M165" s="21" t="e">
        <f>VLOOKUP(B:B,#REF!,1,0)</f>
        <v>#REF!</v>
      </c>
      <c r="N165" s="21">
        <v>7804867</v>
      </c>
      <c r="O165" s="21">
        <v>7804867</v>
      </c>
      <c r="P165" s="21">
        <v>7804867</v>
      </c>
      <c r="Q165" s="21"/>
    </row>
    <row r="166" spans="1:17" x14ac:dyDescent="0.3">
      <c r="A166" s="13">
        <v>2025072268</v>
      </c>
      <c r="B166" s="13">
        <v>11101143</v>
      </c>
      <c r="C166" s="13" t="s">
        <v>8</v>
      </c>
      <c r="D166" s="13" t="s">
        <v>15</v>
      </c>
      <c r="E166" s="13">
        <v>1012434013</v>
      </c>
      <c r="F166" s="13">
        <v>26735</v>
      </c>
      <c r="G166" s="13" t="s">
        <v>10</v>
      </c>
      <c r="H166" s="13">
        <v>12539</v>
      </c>
      <c r="I166" s="14">
        <v>2945600</v>
      </c>
      <c r="J166" s="21"/>
      <c r="K166" s="21"/>
      <c r="L166" s="21"/>
      <c r="M166" s="21" t="e">
        <f>VLOOKUP(B:B,#REF!,1,0)</f>
        <v>#REF!</v>
      </c>
      <c r="N166" s="21">
        <v>11101143</v>
      </c>
      <c r="O166" s="21">
        <v>11101143</v>
      </c>
      <c r="P166" s="21">
        <v>11101143</v>
      </c>
      <c r="Q166" s="21"/>
    </row>
    <row r="167" spans="1:17" x14ac:dyDescent="0.3">
      <c r="A167" s="13">
        <v>2025072705</v>
      </c>
      <c r="B167" s="13">
        <v>10916310</v>
      </c>
      <c r="C167" s="13" t="s">
        <v>8</v>
      </c>
      <c r="D167" s="13" t="s">
        <v>25</v>
      </c>
      <c r="E167" s="13">
        <v>1002525594</v>
      </c>
      <c r="F167" s="13">
        <v>26731</v>
      </c>
      <c r="G167" s="13" t="s">
        <v>10</v>
      </c>
      <c r="H167" s="13">
        <v>13098</v>
      </c>
      <c r="I167" s="14">
        <v>2945600</v>
      </c>
      <c r="J167" s="21"/>
      <c r="K167" s="21"/>
      <c r="L167" s="21"/>
      <c r="M167" s="21" t="e">
        <f>VLOOKUP(B:B,#REF!,1,0)</f>
        <v>#REF!</v>
      </c>
      <c r="N167" s="21">
        <v>10916310</v>
      </c>
      <c r="O167" s="21">
        <v>10916310</v>
      </c>
      <c r="P167" s="21">
        <v>10916310</v>
      </c>
      <c r="Q167" s="21"/>
    </row>
    <row r="168" spans="1:17" x14ac:dyDescent="0.3">
      <c r="A168" s="13">
        <v>2025074719</v>
      </c>
      <c r="B168" s="13">
        <v>10935526</v>
      </c>
      <c r="C168" s="13" t="s">
        <v>8</v>
      </c>
      <c r="D168" s="13" t="s">
        <v>14</v>
      </c>
      <c r="E168" s="13">
        <v>1033685482</v>
      </c>
      <c r="F168" s="13">
        <v>24441</v>
      </c>
      <c r="G168" s="13" t="s">
        <v>10</v>
      </c>
      <c r="H168" s="13">
        <v>429</v>
      </c>
      <c r="I168" s="14">
        <v>2945600</v>
      </c>
      <c r="J168" s="21"/>
      <c r="K168" s="21"/>
      <c r="L168" s="21"/>
      <c r="M168" s="21" t="e">
        <f>VLOOKUP(B:B,#REF!,1,0)</f>
        <v>#REF!</v>
      </c>
      <c r="N168" s="21">
        <v>10935526</v>
      </c>
      <c r="O168" s="21">
        <v>10935526</v>
      </c>
      <c r="P168" s="21">
        <v>10935526</v>
      </c>
      <c r="Q168" s="21"/>
    </row>
    <row r="169" spans="1:17" x14ac:dyDescent="0.3">
      <c r="A169" s="13">
        <v>2025077607</v>
      </c>
      <c r="B169" s="13">
        <v>10843764</v>
      </c>
      <c r="C169" s="13" t="s">
        <v>8</v>
      </c>
      <c r="D169" s="13" t="s">
        <v>20</v>
      </c>
      <c r="E169" s="13">
        <v>52837437</v>
      </c>
      <c r="F169" s="13">
        <v>26730</v>
      </c>
      <c r="G169" s="13" t="s">
        <v>10</v>
      </c>
      <c r="H169" s="13">
        <v>13432</v>
      </c>
      <c r="I169" s="14">
        <v>2945600</v>
      </c>
      <c r="J169" s="52">
        <v>45922</v>
      </c>
      <c r="K169" s="21" t="s">
        <v>67</v>
      </c>
      <c r="L169" s="21"/>
      <c r="M169" s="21" t="e">
        <f>VLOOKUP(B:B,#REF!,1,0)</f>
        <v>#REF!</v>
      </c>
      <c r="N169" s="21">
        <v>10843764</v>
      </c>
      <c r="O169" s="21">
        <v>10843764</v>
      </c>
      <c r="P169" s="21">
        <v>10843764</v>
      </c>
      <c r="Q169" s="21"/>
    </row>
    <row r="170" spans="1:17" x14ac:dyDescent="0.3">
      <c r="A170" s="13">
        <v>2025071894</v>
      </c>
      <c r="B170" s="13">
        <v>7722985</v>
      </c>
      <c r="C170" s="13" t="s">
        <v>76</v>
      </c>
      <c r="D170" s="13" t="s">
        <v>30</v>
      </c>
      <c r="E170" s="13">
        <v>1000620841</v>
      </c>
      <c r="F170" s="13">
        <v>27167</v>
      </c>
      <c r="G170" s="13" t="s">
        <v>10</v>
      </c>
      <c r="H170" s="13">
        <v>13497</v>
      </c>
      <c r="I170" s="14">
        <v>2895920</v>
      </c>
      <c r="J170" s="21"/>
      <c r="K170" s="21"/>
      <c r="L170" s="21"/>
      <c r="M170" s="21" t="e">
        <f>VLOOKUP(B:B,#REF!,1,0)</f>
        <v>#REF!</v>
      </c>
      <c r="N170" s="21">
        <v>7722985</v>
      </c>
      <c r="O170" s="21" t="e">
        <v>#N/A</v>
      </c>
      <c r="P170" s="21">
        <v>7722985</v>
      </c>
      <c r="Q170" s="21"/>
    </row>
    <row r="171" spans="1:17" x14ac:dyDescent="0.3">
      <c r="A171" s="13">
        <v>2025078952</v>
      </c>
      <c r="B171" s="13">
        <v>11202210</v>
      </c>
      <c r="C171" s="13" t="s">
        <v>8</v>
      </c>
      <c r="D171" s="13" t="s">
        <v>23</v>
      </c>
      <c r="E171" s="13">
        <v>1015449218</v>
      </c>
      <c r="F171" s="13">
        <v>24438</v>
      </c>
      <c r="G171" s="13" t="s">
        <v>10</v>
      </c>
      <c r="H171" s="13">
        <v>13010</v>
      </c>
      <c r="I171" s="14">
        <v>2872800</v>
      </c>
      <c r="J171" s="52">
        <v>45922</v>
      </c>
      <c r="K171" s="21" t="s">
        <v>67</v>
      </c>
      <c r="L171" s="21"/>
      <c r="M171" s="21" t="e">
        <f>VLOOKUP(B:B,#REF!,1,0)</f>
        <v>#REF!</v>
      </c>
      <c r="N171" s="21">
        <v>11202210</v>
      </c>
      <c r="O171" s="21">
        <v>11202210</v>
      </c>
      <c r="P171" s="21">
        <v>11202210</v>
      </c>
      <c r="Q171" s="21"/>
    </row>
    <row r="172" spans="1:17" x14ac:dyDescent="0.3">
      <c r="A172" s="13">
        <v>2025079261</v>
      </c>
      <c r="B172" s="13">
        <v>11271490</v>
      </c>
      <c r="C172" s="13" t="s">
        <v>8</v>
      </c>
      <c r="D172" s="13" t="s">
        <v>13</v>
      </c>
      <c r="E172" s="13">
        <v>52756032</v>
      </c>
      <c r="F172" s="13">
        <v>26668</v>
      </c>
      <c r="G172" s="13" t="s">
        <v>10</v>
      </c>
      <c r="H172" s="13">
        <v>446</v>
      </c>
      <c r="I172" s="14">
        <v>2848154</v>
      </c>
      <c r="J172" s="52">
        <v>45922</v>
      </c>
      <c r="K172" s="21" t="s">
        <v>67</v>
      </c>
      <c r="L172" s="21"/>
      <c r="M172" s="21" t="e">
        <f>VLOOKUP(B:B,#REF!,1,0)</f>
        <v>#REF!</v>
      </c>
      <c r="N172" s="21">
        <v>11271490</v>
      </c>
      <c r="O172" s="21">
        <v>11271490</v>
      </c>
      <c r="P172" s="21">
        <v>11271490</v>
      </c>
      <c r="Q172" s="21"/>
    </row>
    <row r="173" spans="1:17" x14ac:dyDescent="0.3">
      <c r="A173" s="13">
        <v>2025072241</v>
      </c>
      <c r="B173" s="13">
        <v>11310355</v>
      </c>
      <c r="C173" s="13" t="s">
        <v>8</v>
      </c>
      <c r="D173" s="13" t="s">
        <v>21</v>
      </c>
      <c r="E173" s="13">
        <v>1000727404</v>
      </c>
      <c r="F173" s="13">
        <v>24436</v>
      </c>
      <c r="G173" s="13" t="s">
        <v>10</v>
      </c>
      <c r="H173" s="13">
        <v>13505</v>
      </c>
      <c r="I173" s="14">
        <v>2800000</v>
      </c>
      <c r="J173" s="21"/>
      <c r="K173" s="21"/>
      <c r="L173" s="21"/>
      <c r="M173" s="21" t="e">
        <f>VLOOKUP(B:B,#REF!,1,0)</f>
        <v>#REF!</v>
      </c>
      <c r="N173" s="21">
        <v>11310355</v>
      </c>
      <c r="O173" s="21">
        <v>11310355</v>
      </c>
      <c r="P173" s="21">
        <v>11310355</v>
      </c>
      <c r="Q173" s="21"/>
    </row>
    <row r="174" spans="1:17" x14ac:dyDescent="0.3">
      <c r="A174" s="13">
        <v>2025075163</v>
      </c>
      <c r="B174" s="13">
        <v>11526795</v>
      </c>
      <c r="C174" s="13" t="s">
        <v>8</v>
      </c>
      <c r="D174" s="13" t="s">
        <v>65</v>
      </c>
      <c r="E174" s="13">
        <v>1000338067</v>
      </c>
      <c r="F174" s="13">
        <v>24433</v>
      </c>
      <c r="G174" s="13" t="s">
        <v>10</v>
      </c>
      <c r="H174" s="13">
        <v>13481</v>
      </c>
      <c r="I174" s="14">
        <v>2800000</v>
      </c>
      <c r="J174" s="21"/>
      <c r="K174" s="21"/>
      <c r="L174" s="21"/>
      <c r="M174" s="21" t="e">
        <f>VLOOKUP(B:B,#REF!,1,0)</f>
        <v>#REF!</v>
      </c>
      <c r="N174" s="21">
        <v>11526795</v>
      </c>
      <c r="O174" s="21">
        <v>11526795</v>
      </c>
      <c r="P174" s="21">
        <v>11526795</v>
      </c>
      <c r="Q174" s="21"/>
    </row>
    <row r="175" spans="1:17" x14ac:dyDescent="0.3">
      <c r="A175" s="13">
        <v>2025072977</v>
      </c>
      <c r="B175" s="13">
        <v>11502291</v>
      </c>
      <c r="C175" s="13" t="s">
        <v>8</v>
      </c>
      <c r="D175" s="13" t="s">
        <v>16</v>
      </c>
      <c r="E175" s="13">
        <v>1019115964</v>
      </c>
      <c r="F175" s="13">
        <v>23410</v>
      </c>
      <c r="G175" s="13" t="s">
        <v>10</v>
      </c>
      <c r="H175" s="13">
        <v>13774</v>
      </c>
      <c r="I175" s="14">
        <v>2800000</v>
      </c>
      <c r="J175" s="52">
        <v>45922</v>
      </c>
      <c r="K175" s="21" t="s">
        <v>67</v>
      </c>
      <c r="L175" s="21"/>
      <c r="M175" s="21" t="e">
        <f>VLOOKUP(B:B,#REF!,1,0)</f>
        <v>#REF!</v>
      </c>
      <c r="N175" s="21">
        <v>11502291</v>
      </c>
      <c r="O175" s="21">
        <v>11502291</v>
      </c>
      <c r="P175" s="21">
        <v>11502291</v>
      </c>
      <c r="Q175" s="21"/>
    </row>
    <row r="176" spans="1:17" x14ac:dyDescent="0.3">
      <c r="A176" s="13">
        <v>2025075629</v>
      </c>
      <c r="B176" s="13">
        <v>7812777</v>
      </c>
      <c r="C176" s="13" t="s">
        <v>8</v>
      </c>
      <c r="D176" s="13" t="s">
        <v>26</v>
      </c>
      <c r="E176" s="13">
        <v>1018439309</v>
      </c>
      <c r="F176" s="13">
        <v>23384</v>
      </c>
      <c r="G176" s="13" t="s">
        <v>10</v>
      </c>
      <c r="H176" s="13">
        <v>13072</v>
      </c>
      <c r="I176" s="14">
        <v>2800000</v>
      </c>
      <c r="J176" s="21"/>
      <c r="K176" s="21"/>
      <c r="L176" s="21"/>
      <c r="M176" s="21" t="e">
        <f>VLOOKUP(B:B,#REF!,1,0)</f>
        <v>#REF!</v>
      </c>
      <c r="N176" s="21">
        <v>7812777</v>
      </c>
      <c r="O176" s="21">
        <v>7812777</v>
      </c>
      <c r="P176" s="21">
        <v>7812777</v>
      </c>
      <c r="Q176" s="21"/>
    </row>
    <row r="177" spans="1:17" x14ac:dyDescent="0.3">
      <c r="A177" s="13">
        <v>2025076870</v>
      </c>
      <c r="B177" s="13">
        <v>11578322</v>
      </c>
      <c r="C177" s="13" t="s">
        <v>8</v>
      </c>
      <c r="D177" s="13" t="s">
        <v>24</v>
      </c>
      <c r="E177" s="13">
        <v>1138074284</v>
      </c>
      <c r="F177" s="13">
        <v>27172</v>
      </c>
      <c r="G177" s="13" t="s">
        <v>10</v>
      </c>
      <c r="H177" s="13">
        <v>2180</v>
      </c>
      <c r="I177" s="14">
        <v>2800000</v>
      </c>
      <c r="J177" s="52">
        <v>45922</v>
      </c>
      <c r="K177" s="21" t="s">
        <v>67</v>
      </c>
      <c r="L177" s="21"/>
      <c r="M177" s="21" t="e">
        <f>VLOOKUP(B:B,#REF!,1,0)</f>
        <v>#REF!</v>
      </c>
      <c r="N177" s="21">
        <v>11578322</v>
      </c>
      <c r="O177" s="21">
        <v>11578322</v>
      </c>
      <c r="P177" s="21">
        <v>11578322</v>
      </c>
      <c r="Q177" s="21"/>
    </row>
    <row r="178" spans="1:17" x14ac:dyDescent="0.3">
      <c r="A178" s="13">
        <v>2025077319</v>
      </c>
      <c r="B178" s="13">
        <v>7750702</v>
      </c>
      <c r="C178" s="13" t="s">
        <v>8</v>
      </c>
      <c r="D178" s="13" t="s">
        <v>22</v>
      </c>
      <c r="E178" s="13">
        <v>1001116838</v>
      </c>
      <c r="F178" s="13">
        <v>27104</v>
      </c>
      <c r="G178" s="13" t="s">
        <v>10</v>
      </c>
      <c r="H178" s="13">
        <v>418</v>
      </c>
      <c r="I178" s="14">
        <v>2800000</v>
      </c>
      <c r="J178" s="21"/>
      <c r="K178" s="21"/>
      <c r="L178" s="21"/>
      <c r="M178" s="21" t="e">
        <f>VLOOKUP(B:B,#REF!,1,0)</f>
        <v>#REF!</v>
      </c>
      <c r="N178" s="21">
        <v>7750702</v>
      </c>
      <c r="O178" s="21">
        <v>7750702</v>
      </c>
      <c r="P178" s="21">
        <v>7750702</v>
      </c>
      <c r="Q178" s="21"/>
    </row>
    <row r="179" spans="1:17" x14ac:dyDescent="0.3">
      <c r="A179" s="13">
        <v>2025074682</v>
      </c>
      <c r="B179" s="13">
        <v>11204989</v>
      </c>
      <c r="C179" s="13" t="s">
        <v>8</v>
      </c>
      <c r="D179" s="13" t="s">
        <v>18</v>
      </c>
      <c r="E179" s="13">
        <v>1032677388</v>
      </c>
      <c r="F179" s="13">
        <v>26623</v>
      </c>
      <c r="G179" s="13" t="s">
        <v>10</v>
      </c>
      <c r="H179" s="13">
        <v>429</v>
      </c>
      <c r="I179" s="14">
        <v>2800000</v>
      </c>
      <c r="J179" s="21"/>
      <c r="K179" s="21"/>
      <c r="L179" s="21"/>
      <c r="M179" s="21" t="e">
        <f>VLOOKUP(B:B,#REF!,1,0)</f>
        <v>#REF!</v>
      </c>
      <c r="N179" s="21">
        <v>11204989</v>
      </c>
      <c r="O179" s="21">
        <v>11204989</v>
      </c>
      <c r="P179" s="21">
        <v>11204989</v>
      </c>
      <c r="Q179" s="21"/>
    </row>
    <row r="180" spans="1:17" x14ac:dyDescent="0.3">
      <c r="A180" s="13">
        <v>2025075738</v>
      </c>
      <c r="B180" s="13">
        <v>11164504</v>
      </c>
      <c r="C180" s="13" t="s">
        <v>8</v>
      </c>
      <c r="D180" s="13" t="s">
        <v>17</v>
      </c>
      <c r="E180" s="13">
        <v>1014284618</v>
      </c>
      <c r="F180" s="13">
        <v>27083</v>
      </c>
      <c r="G180" s="13" t="s">
        <v>10</v>
      </c>
      <c r="H180" s="13">
        <v>13452</v>
      </c>
      <c r="I180" s="14">
        <v>2798400</v>
      </c>
      <c r="J180" s="52">
        <v>45924</v>
      </c>
      <c r="K180" s="21" t="s">
        <v>79</v>
      </c>
      <c r="L180" s="21"/>
      <c r="M180" s="21" t="e">
        <f>VLOOKUP(B:B,#REF!,1,0)</f>
        <v>#REF!</v>
      </c>
      <c r="N180" s="21">
        <v>11164504</v>
      </c>
      <c r="O180" s="21">
        <v>11164504</v>
      </c>
      <c r="P180" s="21" t="e">
        <v>#N/A</v>
      </c>
      <c r="Q180" s="21"/>
    </row>
    <row r="181" spans="1:17" x14ac:dyDescent="0.3">
      <c r="A181" s="13">
        <v>2025073121</v>
      </c>
      <c r="B181" s="13">
        <v>10137626</v>
      </c>
      <c r="C181" s="13" t="s">
        <v>8</v>
      </c>
      <c r="D181" s="13" t="s">
        <v>19</v>
      </c>
      <c r="E181" s="13">
        <v>1024593276</v>
      </c>
      <c r="F181" s="13">
        <v>27068</v>
      </c>
      <c r="G181" s="13" t="s">
        <v>10</v>
      </c>
      <c r="H181" s="13">
        <v>11159</v>
      </c>
      <c r="I181" s="14">
        <v>2797600</v>
      </c>
      <c r="J181" s="21"/>
      <c r="K181" s="21"/>
      <c r="L181" s="21"/>
      <c r="M181" s="21" t="e">
        <f>VLOOKUP(B:B,#REF!,1,0)</f>
        <v>#REF!</v>
      </c>
      <c r="N181" s="21">
        <v>10137626</v>
      </c>
      <c r="O181" s="21">
        <v>10137626</v>
      </c>
      <c r="P181" s="21">
        <v>10137626</v>
      </c>
      <c r="Q181" s="21"/>
    </row>
    <row r="182" spans="1:17" x14ac:dyDescent="0.3">
      <c r="A182" s="13">
        <v>2025078239</v>
      </c>
      <c r="B182" s="13">
        <v>7083079</v>
      </c>
      <c r="C182" s="13" t="s">
        <v>8</v>
      </c>
      <c r="D182" s="13" t="s">
        <v>9</v>
      </c>
      <c r="E182" s="13">
        <v>1001275619</v>
      </c>
      <c r="F182" s="13">
        <v>27063</v>
      </c>
      <c r="G182" s="13" t="s">
        <v>10</v>
      </c>
      <c r="H182" s="13">
        <v>13183</v>
      </c>
      <c r="I182" s="14">
        <v>2791400</v>
      </c>
      <c r="J182" s="21"/>
      <c r="K182" s="21"/>
      <c r="L182" s="21"/>
      <c r="M182" s="21" t="e">
        <f>VLOOKUP(B:B,#REF!,1,0)</f>
        <v>#REF!</v>
      </c>
      <c r="N182" s="21">
        <v>7083079</v>
      </c>
      <c r="O182" s="21">
        <v>7083079</v>
      </c>
      <c r="P182" s="21">
        <v>7083079</v>
      </c>
      <c r="Q182" s="21"/>
    </row>
    <row r="183" spans="1:17" x14ac:dyDescent="0.3">
      <c r="A183" s="13">
        <v>2025078517</v>
      </c>
      <c r="B183" s="13">
        <v>10072972</v>
      </c>
      <c r="C183" s="13" t="s">
        <v>8</v>
      </c>
      <c r="D183" s="13" t="s">
        <v>27</v>
      </c>
      <c r="E183" s="13">
        <v>1000218098</v>
      </c>
      <c r="F183" s="13">
        <v>26786</v>
      </c>
      <c r="G183" s="13" t="s">
        <v>10</v>
      </c>
      <c r="H183" s="13">
        <v>13566</v>
      </c>
      <c r="I183" s="14">
        <v>2790200</v>
      </c>
      <c r="J183" s="21"/>
      <c r="K183" s="21"/>
      <c r="L183" s="21"/>
      <c r="M183" s="21" t="e">
        <f>VLOOKUP(B:B,#REF!,1,0)</f>
        <v>#REF!</v>
      </c>
      <c r="N183" s="21">
        <v>10072972</v>
      </c>
      <c r="O183" s="21">
        <v>10072972</v>
      </c>
      <c r="P183" s="21">
        <v>10072972</v>
      </c>
      <c r="Q183" s="21"/>
    </row>
    <row r="184" spans="1:17" x14ac:dyDescent="0.3">
      <c r="A184" s="13">
        <v>2025075300</v>
      </c>
      <c r="B184" s="13">
        <v>10957008</v>
      </c>
      <c r="C184" s="13" t="s">
        <v>8</v>
      </c>
      <c r="D184" s="13" t="s">
        <v>11</v>
      </c>
      <c r="E184" s="13">
        <v>1016106935</v>
      </c>
      <c r="F184" s="13">
        <v>27064</v>
      </c>
      <c r="G184" s="13" t="s">
        <v>10</v>
      </c>
      <c r="H184" s="13">
        <v>11196</v>
      </c>
      <c r="I184" s="14">
        <v>2790000</v>
      </c>
      <c r="J184" s="52">
        <v>45922</v>
      </c>
      <c r="K184" s="21" t="s">
        <v>67</v>
      </c>
      <c r="L184" s="21"/>
      <c r="M184" s="21" t="e">
        <f>VLOOKUP(B:B,#REF!,1,0)</f>
        <v>#REF!</v>
      </c>
      <c r="N184" s="21">
        <v>10957008</v>
      </c>
      <c r="O184" s="21">
        <v>10957008</v>
      </c>
      <c r="P184" s="21" t="e">
        <v>#N/A</v>
      </c>
      <c r="Q184" s="21"/>
    </row>
    <row r="185" spans="1:17" x14ac:dyDescent="0.3">
      <c r="A185" s="13">
        <v>2025072692</v>
      </c>
      <c r="B185" s="13">
        <v>11175160</v>
      </c>
      <c r="C185" s="13" t="s">
        <v>8</v>
      </c>
      <c r="D185" s="13" t="s">
        <v>15</v>
      </c>
      <c r="E185" s="13">
        <v>1012434013</v>
      </c>
      <c r="F185" s="13">
        <v>26735</v>
      </c>
      <c r="G185" s="13" t="s">
        <v>10</v>
      </c>
      <c r="H185" s="13">
        <v>2231</v>
      </c>
      <c r="I185" s="14">
        <v>2780000</v>
      </c>
      <c r="J185" s="21"/>
      <c r="K185" s="21"/>
      <c r="L185" s="21"/>
      <c r="M185" s="21" t="e">
        <f>VLOOKUP(B:B,#REF!,1,0)</f>
        <v>#REF!</v>
      </c>
      <c r="N185" s="21">
        <v>11175160</v>
      </c>
      <c r="O185" s="21">
        <v>11175160</v>
      </c>
      <c r="P185" s="21">
        <v>11175160</v>
      </c>
      <c r="Q185" s="21"/>
    </row>
    <row r="186" spans="1:17" x14ac:dyDescent="0.3">
      <c r="A186" s="13">
        <v>2025078790</v>
      </c>
      <c r="B186" s="13">
        <v>10964951</v>
      </c>
      <c r="C186" s="13" t="s">
        <v>8</v>
      </c>
      <c r="D186" s="13" t="s">
        <v>25</v>
      </c>
      <c r="E186" s="13">
        <v>1002525594</v>
      </c>
      <c r="F186" s="13">
        <v>26731</v>
      </c>
      <c r="G186" s="13" t="s">
        <v>10</v>
      </c>
      <c r="H186" s="13">
        <v>10987</v>
      </c>
      <c r="I186" s="14">
        <v>2778694</v>
      </c>
      <c r="J186" s="52">
        <v>45922</v>
      </c>
      <c r="K186" s="21" t="s">
        <v>67</v>
      </c>
      <c r="L186" s="21"/>
      <c r="M186" s="21" t="e">
        <f>VLOOKUP(B:B,#REF!,1,0)</f>
        <v>#REF!</v>
      </c>
      <c r="N186" s="21">
        <v>10964951</v>
      </c>
      <c r="O186" s="21">
        <v>10964951</v>
      </c>
      <c r="P186" s="21">
        <v>10964951</v>
      </c>
      <c r="Q186" s="21"/>
    </row>
    <row r="187" spans="1:17" x14ac:dyDescent="0.3">
      <c r="A187" s="13">
        <v>2025074452</v>
      </c>
      <c r="B187" s="13">
        <v>11414618</v>
      </c>
      <c r="C187" s="13" t="s">
        <v>8</v>
      </c>
      <c r="D187" s="13" t="s">
        <v>20</v>
      </c>
      <c r="E187" s="13">
        <v>52837437</v>
      </c>
      <c r="F187" s="13">
        <v>26730</v>
      </c>
      <c r="G187" s="13" t="s">
        <v>10</v>
      </c>
      <c r="H187" s="13">
        <v>1545</v>
      </c>
      <c r="I187" s="14">
        <v>2760000</v>
      </c>
      <c r="J187" s="21"/>
      <c r="K187" s="21"/>
      <c r="L187" s="21"/>
      <c r="M187" s="21" t="e">
        <f>VLOOKUP(B:B,#REF!,1,0)</f>
        <v>#REF!</v>
      </c>
      <c r="N187" s="21">
        <v>11414618</v>
      </c>
      <c r="O187" s="21">
        <v>11414618</v>
      </c>
      <c r="P187" s="21">
        <v>11414618</v>
      </c>
      <c r="Q187" s="21"/>
    </row>
    <row r="188" spans="1:17" x14ac:dyDescent="0.3">
      <c r="A188" s="13">
        <v>2025078472</v>
      </c>
      <c r="B188" s="13">
        <v>10123128</v>
      </c>
      <c r="C188" s="13" t="s">
        <v>8</v>
      </c>
      <c r="D188" s="13" t="s">
        <v>14</v>
      </c>
      <c r="E188" s="13">
        <v>1033685482</v>
      </c>
      <c r="F188" s="13">
        <v>24441</v>
      </c>
      <c r="G188" s="13" t="s">
        <v>10</v>
      </c>
      <c r="H188" s="13">
        <v>12267</v>
      </c>
      <c r="I188" s="14">
        <v>2759102</v>
      </c>
      <c r="J188" s="21"/>
      <c r="K188" s="21"/>
      <c r="L188" s="21"/>
      <c r="M188" s="21" t="e">
        <f>VLOOKUP(B:B,#REF!,1,0)</f>
        <v>#REF!</v>
      </c>
      <c r="N188" s="21">
        <v>10123128</v>
      </c>
      <c r="O188" s="21">
        <v>10123128</v>
      </c>
      <c r="P188" s="21">
        <v>10123128</v>
      </c>
      <c r="Q188" s="21"/>
    </row>
    <row r="189" spans="1:17" x14ac:dyDescent="0.3">
      <c r="A189" s="13">
        <v>2025074252</v>
      </c>
      <c r="B189" s="13">
        <v>7098593</v>
      </c>
      <c r="C189" s="13" t="s">
        <v>8</v>
      </c>
      <c r="D189" s="13" t="s">
        <v>23</v>
      </c>
      <c r="E189" s="13">
        <v>1015449218</v>
      </c>
      <c r="F189" s="13">
        <v>24438</v>
      </c>
      <c r="G189" s="13" t="s">
        <v>10</v>
      </c>
      <c r="H189" s="13">
        <v>13056</v>
      </c>
      <c r="I189" s="14">
        <v>2747084</v>
      </c>
      <c r="J189" s="21"/>
      <c r="K189" s="21"/>
      <c r="L189" s="21"/>
      <c r="M189" s="21" t="e">
        <f>VLOOKUP(B:B,#REF!,1,0)</f>
        <v>#REF!</v>
      </c>
      <c r="N189" s="21">
        <v>7098593</v>
      </c>
      <c r="O189" s="21">
        <v>7098593</v>
      </c>
      <c r="P189" s="21">
        <v>7098593</v>
      </c>
      <c r="Q189" s="21"/>
    </row>
    <row r="190" spans="1:17" x14ac:dyDescent="0.3">
      <c r="A190" s="13">
        <v>2025073085</v>
      </c>
      <c r="B190" s="13">
        <v>7669079</v>
      </c>
      <c r="C190" s="13" t="s">
        <v>76</v>
      </c>
      <c r="D190" s="13" t="s">
        <v>56</v>
      </c>
      <c r="E190" s="13">
        <v>1000004978</v>
      </c>
      <c r="F190" s="13">
        <v>27203</v>
      </c>
      <c r="G190" s="13" t="s">
        <v>10</v>
      </c>
      <c r="H190" s="13">
        <v>11482</v>
      </c>
      <c r="I190" s="14">
        <v>2708000</v>
      </c>
      <c r="J190" s="21"/>
      <c r="K190" s="21"/>
      <c r="L190" s="21"/>
      <c r="M190" s="21" t="e">
        <f>VLOOKUP(B:B,#REF!,1,0)</f>
        <v>#REF!</v>
      </c>
      <c r="N190" s="21">
        <v>7669079</v>
      </c>
      <c r="O190" s="21" t="e">
        <v>#N/A</v>
      </c>
      <c r="P190" s="21" t="e">
        <v>#N/A</v>
      </c>
      <c r="Q190" s="21"/>
    </row>
    <row r="191" spans="1:17" x14ac:dyDescent="0.3">
      <c r="A191" s="13">
        <v>2025072917</v>
      </c>
      <c r="B191" s="13">
        <v>7808820</v>
      </c>
      <c r="C191" s="13" t="s">
        <v>8</v>
      </c>
      <c r="D191" s="13" t="s">
        <v>13</v>
      </c>
      <c r="E191" s="13">
        <v>52756032</v>
      </c>
      <c r="F191" s="13">
        <v>26668</v>
      </c>
      <c r="G191" s="13" t="s">
        <v>10</v>
      </c>
      <c r="H191" s="13">
        <v>97</v>
      </c>
      <c r="I191" s="14">
        <v>2680000</v>
      </c>
      <c r="J191" s="52">
        <v>45922</v>
      </c>
      <c r="K191" s="21" t="s">
        <v>67</v>
      </c>
      <c r="L191" s="21"/>
      <c r="M191" s="21" t="e">
        <f>VLOOKUP(B:B,#REF!,1,0)</f>
        <v>#REF!</v>
      </c>
      <c r="N191" s="21">
        <v>7808820</v>
      </c>
      <c r="O191" s="21">
        <v>7808820</v>
      </c>
      <c r="P191" s="21">
        <v>7808820</v>
      </c>
      <c r="Q191" s="21"/>
    </row>
    <row r="192" spans="1:17" x14ac:dyDescent="0.3">
      <c r="A192" s="13">
        <v>2025076584</v>
      </c>
      <c r="B192" s="13">
        <v>6091590</v>
      </c>
      <c r="C192" s="13" t="s">
        <v>8</v>
      </c>
      <c r="D192" s="13" t="s">
        <v>21</v>
      </c>
      <c r="E192" s="13">
        <v>1000727404</v>
      </c>
      <c r="F192" s="13">
        <v>24436</v>
      </c>
      <c r="G192" s="13" t="s">
        <v>10</v>
      </c>
      <c r="H192" s="13">
        <v>343</v>
      </c>
      <c r="I192" s="14">
        <v>2674660</v>
      </c>
      <c r="J192" s="52">
        <v>45922</v>
      </c>
      <c r="K192" s="21" t="s">
        <v>67</v>
      </c>
      <c r="L192" s="21"/>
      <c r="M192" s="21" t="e">
        <f>VLOOKUP(B:B,#REF!,1,0)</f>
        <v>#REF!</v>
      </c>
      <c r="N192" s="21">
        <v>6091590</v>
      </c>
      <c r="O192" s="21">
        <v>6091590</v>
      </c>
      <c r="P192" s="21">
        <v>6091590</v>
      </c>
      <c r="Q192" s="21"/>
    </row>
    <row r="193" spans="1:17" x14ac:dyDescent="0.3">
      <c r="A193" s="13">
        <v>2025080473</v>
      </c>
      <c r="B193" s="13">
        <v>7641269</v>
      </c>
      <c r="C193" s="13" t="s">
        <v>8</v>
      </c>
      <c r="D193" s="13" t="s">
        <v>26</v>
      </c>
      <c r="E193" s="13">
        <v>1018439309</v>
      </c>
      <c r="F193" s="13">
        <v>23384</v>
      </c>
      <c r="G193" s="13" t="s">
        <v>10</v>
      </c>
      <c r="H193" s="13">
        <v>11356</v>
      </c>
      <c r="I193" s="14">
        <v>2662000</v>
      </c>
      <c r="J193" s="21"/>
      <c r="K193" s="21"/>
      <c r="L193" s="21"/>
      <c r="M193" s="21" t="e">
        <f>VLOOKUP(B:B,#REF!,1,0)</f>
        <v>#REF!</v>
      </c>
      <c r="N193" s="21">
        <v>7641269</v>
      </c>
      <c r="O193" s="21">
        <v>7641269</v>
      </c>
      <c r="P193" s="21">
        <v>7641269</v>
      </c>
      <c r="Q193" s="21"/>
    </row>
    <row r="194" spans="1:17" x14ac:dyDescent="0.3">
      <c r="A194" s="13">
        <v>2025076643</v>
      </c>
      <c r="B194" s="13">
        <v>10488810</v>
      </c>
      <c r="C194" s="13" t="s">
        <v>8</v>
      </c>
      <c r="D194" s="13" t="s">
        <v>65</v>
      </c>
      <c r="E194" s="13">
        <v>1000338067</v>
      </c>
      <c r="F194" s="13">
        <v>24433</v>
      </c>
      <c r="G194" s="13" t="s">
        <v>10</v>
      </c>
      <c r="H194" s="13">
        <v>11199</v>
      </c>
      <c r="I194" s="14">
        <v>2653400</v>
      </c>
      <c r="J194" s="52">
        <v>45922</v>
      </c>
      <c r="K194" s="21" t="s">
        <v>67</v>
      </c>
      <c r="L194" s="21"/>
      <c r="M194" s="21" t="e">
        <f>VLOOKUP(B:B,#REF!,1,0)</f>
        <v>#REF!</v>
      </c>
      <c r="N194" s="21">
        <v>10488810</v>
      </c>
      <c r="O194" s="21">
        <v>10488810</v>
      </c>
      <c r="P194" s="21">
        <v>10488810</v>
      </c>
      <c r="Q194" s="21"/>
    </row>
    <row r="195" spans="1:17" x14ac:dyDescent="0.3">
      <c r="A195" s="13">
        <v>2025077613</v>
      </c>
      <c r="B195" s="13">
        <v>10789810</v>
      </c>
      <c r="C195" s="13" t="s">
        <v>8</v>
      </c>
      <c r="D195" s="13" t="s">
        <v>16</v>
      </c>
      <c r="E195" s="13">
        <v>1019115964</v>
      </c>
      <c r="F195" s="13">
        <v>23410</v>
      </c>
      <c r="G195" s="13" t="s">
        <v>10</v>
      </c>
      <c r="H195" s="13">
        <v>483</v>
      </c>
      <c r="I195" s="14">
        <v>2622720</v>
      </c>
      <c r="J195" s="52">
        <v>45922</v>
      </c>
      <c r="K195" s="21" t="s">
        <v>67</v>
      </c>
      <c r="L195" s="21"/>
      <c r="M195" s="21" t="e">
        <f>VLOOKUP(B:B,#REF!,1,0)</f>
        <v>#REF!</v>
      </c>
      <c r="N195" s="21">
        <v>10789810</v>
      </c>
      <c r="O195" s="21">
        <v>10789810</v>
      </c>
      <c r="P195" s="21">
        <v>10789810</v>
      </c>
      <c r="Q195" s="21"/>
    </row>
    <row r="196" spans="1:17" x14ac:dyDescent="0.3">
      <c r="A196" s="13">
        <v>2025080648</v>
      </c>
      <c r="B196" s="13">
        <v>7501425</v>
      </c>
      <c r="C196" s="13" t="s">
        <v>8</v>
      </c>
      <c r="D196" s="13" t="s">
        <v>18</v>
      </c>
      <c r="E196" s="13">
        <v>1032677388</v>
      </c>
      <c r="F196" s="13">
        <v>26623</v>
      </c>
      <c r="G196" s="13" t="s">
        <v>10</v>
      </c>
      <c r="H196" s="13">
        <v>1925</v>
      </c>
      <c r="I196" s="14">
        <v>2617376</v>
      </c>
      <c r="J196" s="21"/>
      <c r="K196" s="21"/>
      <c r="L196" s="21"/>
      <c r="M196" s="21" t="e">
        <f>VLOOKUP(B:B,#REF!,1,0)</f>
        <v>#REF!</v>
      </c>
      <c r="N196" s="21">
        <v>7501425</v>
      </c>
      <c r="O196" s="21">
        <v>7501425</v>
      </c>
      <c r="P196" s="21">
        <v>7501425</v>
      </c>
      <c r="Q196" s="21"/>
    </row>
    <row r="197" spans="1:17" x14ac:dyDescent="0.3">
      <c r="A197" s="13">
        <v>2025080808</v>
      </c>
      <c r="B197" s="13">
        <v>7748782</v>
      </c>
      <c r="C197" s="13" t="s">
        <v>76</v>
      </c>
      <c r="D197" s="13" t="s">
        <v>34</v>
      </c>
      <c r="E197" s="13">
        <v>1014190282</v>
      </c>
      <c r="F197" s="13">
        <v>27166</v>
      </c>
      <c r="G197" s="13" t="s">
        <v>10</v>
      </c>
      <c r="H197" s="13">
        <v>1305</v>
      </c>
      <c r="I197" s="14">
        <v>2614617</v>
      </c>
      <c r="J197" s="21"/>
      <c r="K197" s="21"/>
      <c r="L197" s="21"/>
      <c r="M197" s="21" t="e">
        <f>VLOOKUP(B:B,#REF!,1,0)</f>
        <v>#REF!</v>
      </c>
      <c r="N197" s="21">
        <v>7748782</v>
      </c>
      <c r="O197" s="21" t="e">
        <v>#N/A</v>
      </c>
      <c r="P197" s="21">
        <v>7748782</v>
      </c>
      <c r="Q197" s="21"/>
    </row>
    <row r="198" spans="1:17" x14ac:dyDescent="0.3">
      <c r="A198" s="13">
        <v>2025074174</v>
      </c>
      <c r="B198" s="13">
        <v>11194061</v>
      </c>
      <c r="C198" s="13" t="s">
        <v>8</v>
      </c>
      <c r="D198" s="13" t="s">
        <v>22</v>
      </c>
      <c r="E198" s="13">
        <v>1001116838</v>
      </c>
      <c r="F198" s="13">
        <v>27104</v>
      </c>
      <c r="G198" s="13" t="s">
        <v>10</v>
      </c>
      <c r="H198" s="13">
        <v>10859</v>
      </c>
      <c r="I198" s="14">
        <v>2612000</v>
      </c>
      <c r="J198" s="21"/>
      <c r="K198" s="21"/>
      <c r="L198" s="21"/>
      <c r="M198" s="21" t="e">
        <f>VLOOKUP(B:B,#REF!,1,0)</f>
        <v>#REF!</v>
      </c>
      <c r="N198" s="21">
        <v>11194061</v>
      </c>
      <c r="O198" s="21">
        <v>11194061</v>
      </c>
      <c r="P198" s="21">
        <v>11194061</v>
      </c>
      <c r="Q198" s="21"/>
    </row>
    <row r="199" spans="1:17" x14ac:dyDescent="0.3">
      <c r="A199" s="13">
        <v>2025076053</v>
      </c>
      <c r="B199" s="13">
        <v>7318241</v>
      </c>
      <c r="C199" s="13" t="s">
        <v>8</v>
      </c>
      <c r="D199" s="13" t="s">
        <v>24</v>
      </c>
      <c r="E199" s="13">
        <v>1138074284</v>
      </c>
      <c r="F199" s="13">
        <v>27172</v>
      </c>
      <c r="G199" s="13" t="s">
        <v>10</v>
      </c>
      <c r="H199" s="13">
        <v>13226</v>
      </c>
      <c r="I199" s="14">
        <v>2611296</v>
      </c>
      <c r="J199" s="52">
        <v>45922</v>
      </c>
      <c r="K199" s="21" t="s">
        <v>67</v>
      </c>
      <c r="L199" s="21"/>
      <c r="M199" s="21" t="e">
        <f>VLOOKUP(B:B,#REF!,1,0)</f>
        <v>#REF!</v>
      </c>
      <c r="N199" s="21">
        <v>7318241</v>
      </c>
      <c r="O199" s="21">
        <v>7318241</v>
      </c>
      <c r="P199" s="21" t="e">
        <v>#N/A</v>
      </c>
      <c r="Q199" s="21"/>
    </row>
    <row r="200" spans="1:17" x14ac:dyDescent="0.3">
      <c r="A200" s="13">
        <v>2025072891</v>
      </c>
      <c r="B200" s="13">
        <v>7353215</v>
      </c>
      <c r="C200" s="13" t="s">
        <v>8</v>
      </c>
      <c r="D200" s="13" t="s">
        <v>9</v>
      </c>
      <c r="E200" s="13">
        <v>1001275619</v>
      </c>
      <c r="F200" s="13">
        <v>27063</v>
      </c>
      <c r="G200" s="13" t="s">
        <v>10</v>
      </c>
      <c r="H200" s="13">
        <v>13349</v>
      </c>
      <c r="I200" s="14">
        <v>2611000</v>
      </c>
      <c r="J200" s="21"/>
      <c r="K200" s="21"/>
      <c r="L200" s="21"/>
      <c r="M200" s="21" t="e">
        <f>VLOOKUP(B:B,#REF!,1,0)</f>
        <v>#REF!</v>
      </c>
      <c r="N200" s="21">
        <v>7353215</v>
      </c>
      <c r="O200" s="21">
        <v>7353215</v>
      </c>
      <c r="P200" s="21" t="e">
        <v>#N/A</v>
      </c>
      <c r="Q200" s="21"/>
    </row>
    <row r="201" spans="1:17" x14ac:dyDescent="0.3">
      <c r="A201" s="13">
        <v>2025075613</v>
      </c>
      <c r="B201" s="13">
        <v>7306106</v>
      </c>
      <c r="C201" s="13" t="s">
        <v>8</v>
      </c>
      <c r="D201" s="13" t="s">
        <v>27</v>
      </c>
      <c r="E201" s="13">
        <v>1000218098</v>
      </c>
      <c r="F201" s="13">
        <v>26786</v>
      </c>
      <c r="G201" s="13" t="s">
        <v>10</v>
      </c>
      <c r="H201" s="13">
        <v>13071</v>
      </c>
      <c r="I201" s="14">
        <v>2611000</v>
      </c>
      <c r="J201" s="52">
        <v>45922</v>
      </c>
      <c r="K201" s="21" t="s">
        <v>67</v>
      </c>
      <c r="L201" s="21"/>
      <c r="M201" s="21" t="e">
        <f>VLOOKUP(B:B,#REF!,1,0)</f>
        <v>#REF!</v>
      </c>
      <c r="N201" s="21">
        <v>7306106</v>
      </c>
      <c r="O201" s="21">
        <v>7306106</v>
      </c>
      <c r="P201" s="21">
        <v>7306106</v>
      </c>
      <c r="Q201" s="21"/>
    </row>
    <row r="202" spans="1:17" x14ac:dyDescent="0.3">
      <c r="A202" s="13">
        <v>2025075490</v>
      </c>
      <c r="B202" s="13">
        <v>7179130</v>
      </c>
      <c r="C202" s="13" t="s">
        <v>8</v>
      </c>
      <c r="D202" s="13" t="s">
        <v>11</v>
      </c>
      <c r="E202" s="13">
        <v>1016106935</v>
      </c>
      <c r="F202" s="13">
        <v>27064</v>
      </c>
      <c r="G202" s="13" t="s">
        <v>10</v>
      </c>
      <c r="H202" s="13">
        <v>13327</v>
      </c>
      <c r="I202" s="14">
        <v>2609730</v>
      </c>
      <c r="J202" s="21"/>
      <c r="K202" s="21"/>
      <c r="L202" s="21"/>
      <c r="M202" s="21" t="e">
        <f>VLOOKUP(B:B,#REF!,1,0)</f>
        <v>#REF!</v>
      </c>
      <c r="N202" s="21">
        <v>7179130</v>
      </c>
      <c r="O202" s="21">
        <v>7179130</v>
      </c>
      <c r="P202" s="21">
        <v>7179130</v>
      </c>
      <c r="Q202" s="21"/>
    </row>
    <row r="203" spans="1:17" x14ac:dyDescent="0.3">
      <c r="A203" s="13">
        <v>2025074771</v>
      </c>
      <c r="B203" s="13">
        <v>7134418</v>
      </c>
      <c r="C203" s="13" t="s">
        <v>8</v>
      </c>
      <c r="D203" s="13" t="s">
        <v>17</v>
      </c>
      <c r="E203" s="13">
        <v>1014284618</v>
      </c>
      <c r="F203" s="13">
        <v>27083</v>
      </c>
      <c r="G203" s="13" t="s">
        <v>10</v>
      </c>
      <c r="H203" s="13">
        <v>429</v>
      </c>
      <c r="I203" s="14">
        <v>2609730</v>
      </c>
      <c r="J203" s="21"/>
      <c r="K203" s="21"/>
      <c r="L203" s="21"/>
      <c r="M203" s="21" t="e">
        <f>VLOOKUP(B:B,#REF!,1,0)</f>
        <v>#REF!</v>
      </c>
      <c r="N203" s="21">
        <v>7134418</v>
      </c>
      <c r="O203" s="21">
        <v>7134418</v>
      </c>
      <c r="P203" s="21">
        <v>7134418</v>
      </c>
      <c r="Q203" s="21"/>
    </row>
    <row r="204" spans="1:17" x14ac:dyDescent="0.3">
      <c r="A204" s="13">
        <v>2025073642</v>
      </c>
      <c r="B204" s="13">
        <v>7173761</v>
      </c>
      <c r="C204" s="13" t="s">
        <v>8</v>
      </c>
      <c r="D204" s="13" t="s">
        <v>19</v>
      </c>
      <c r="E204" s="13">
        <v>1024593276</v>
      </c>
      <c r="F204" s="13">
        <v>27068</v>
      </c>
      <c r="G204" s="13" t="s">
        <v>10</v>
      </c>
      <c r="H204" s="13">
        <v>13111</v>
      </c>
      <c r="I204" s="14">
        <v>2609200</v>
      </c>
      <c r="J204" s="52">
        <v>45922</v>
      </c>
      <c r="K204" s="21" t="s">
        <v>67</v>
      </c>
      <c r="L204" s="21"/>
      <c r="M204" s="21" t="e">
        <f>VLOOKUP(B:B,#REF!,1,0)</f>
        <v>#REF!</v>
      </c>
      <c r="N204" s="21">
        <v>7173761</v>
      </c>
      <c r="O204" s="21">
        <v>7173761</v>
      </c>
      <c r="P204" s="21">
        <v>7173761</v>
      </c>
      <c r="Q204" s="21"/>
    </row>
    <row r="205" spans="1:17" x14ac:dyDescent="0.3">
      <c r="A205" s="13">
        <v>2025077200</v>
      </c>
      <c r="B205" s="13">
        <v>5901071</v>
      </c>
      <c r="C205" s="13" t="s">
        <v>8</v>
      </c>
      <c r="D205" s="13" t="s">
        <v>15</v>
      </c>
      <c r="E205" s="13">
        <v>1012434013</v>
      </c>
      <c r="F205" s="13">
        <v>26735</v>
      </c>
      <c r="G205" s="13" t="s">
        <v>10</v>
      </c>
      <c r="H205" s="13">
        <v>13439</v>
      </c>
      <c r="I205" s="14">
        <v>2608290</v>
      </c>
      <c r="J205" s="52">
        <v>45922</v>
      </c>
      <c r="K205" s="21" t="s">
        <v>67</v>
      </c>
      <c r="L205" s="21"/>
      <c r="M205" s="21" t="e">
        <f>VLOOKUP(B:B,#REF!,1,0)</f>
        <v>#REF!</v>
      </c>
      <c r="N205" s="21">
        <v>5901071</v>
      </c>
      <c r="O205" s="21">
        <v>5901071</v>
      </c>
      <c r="P205" s="21">
        <v>5901071</v>
      </c>
      <c r="Q205" s="21"/>
    </row>
    <row r="206" spans="1:17" x14ac:dyDescent="0.3">
      <c r="A206" s="13">
        <v>2025077657</v>
      </c>
      <c r="B206" s="13">
        <v>7598127</v>
      </c>
      <c r="C206" s="13" t="s">
        <v>8</v>
      </c>
      <c r="D206" s="13" t="s">
        <v>14</v>
      </c>
      <c r="E206" s="13">
        <v>1033685482</v>
      </c>
      <c r="F206" s="13">
        <v>24441</v>
      </c>
      <c r="G206" s="13" t="s">
        <v>10</v>
      </c>
      <c r="H206" s="13">
        <v>11120</v>
      </c>
      <c r="I206" s="14">
        <v>2607674</v>
      </c>
      <c r="J206" s="52">
        <v>45922</v>
      </c>
      <c r="K206" s="21" t="s">
        <v>67</v>
      </c>
      <c r="L206" s="21"/>
      <c r="M206" s="21" t="e">
        <f>VLOOKUP(B:B,#REF!,1,0)</f>
        <v>#REF!</v>
      </c>
      <c r="N206" s="21">
        <v>7598127</v>
      </c>
      <c r="O206" s="21">
        <v>7598127</v>
      </c>
      <c r="P206" s="21">
        <v>7598127</v>
      </c>
      <c r="Q206" s="21"/>
    </row>
    <row r="207" spans="1:17" x14ac:dyDescent="0.3">
      <c r="A207" s="13">
        <v>2025075409</v>
      </c>
      <c r="B207" s="13">
        <v>6603845</v>
      </c>
      <c r="C207" s="13" t="s">
        <v>8</v>
      </c>
      <c r="D207" s="13" t="s">
        <v>20</v>
      </c>
      <c r="E207" s="13">
        <v>52837437</v>
      </c>
      <c r="F207" s="13">
        <v>26730</v>
      </c>
      <c r="G207" s="13" t="s">
        <v>10</v>
      </c>
      <c r="H207" s="13">
        <v>10618</v>
      </c>
      <c r="I207" s="14">
        <v>2602528</v>
      </c>
      <c r="J207" s="21"/>
      <c r="K207" s="21"/>
      <c r="L207" s="21"/>
      <c r="M207" s="21" t="e">
        <f>VLOOKUP(B:B,#REF!,1,0)</f>
        <v>#REF!</v>
      </c>
      <c r="N207" s="21">
        <v>6603845</v>
      </c>
      <c r="O207" s="21">
        <v>6603845</v>
      </c>
      <c r="P207" s="21">
        <v>6603845</v>
      </c>
      <c r="Q207" s="21"/>
    </row>
    <row r="208" spans="1:17" x14ac:dyDescent="0.3">
      <c r="A208" s="13">
        <v>2025078599</v>
      </c>
      <c r="B208" s="13">
        <v>7289359</v>
      </c>
      <c r="C208" s="13" t="s">
        <v>8</v>
      </c>
      <c r="D208" s="13" t="s">
        <v>25</v>
      </c>
      <c r="E208" s="13">
        <v>1002525594</v>
      </c>
      <c r="F208" s="13">
        <v>26731</v>
      </c>
      <c r="G208" s="13" t="s">
        <v>10</v>
      </c>
      <c r="H208" s="13">
        <v>2188</v>
      </c>
      <c r="I208" s="14">
        <v>2602054</v>
      </c>
      <c r="J208" s="21"/>
      <c r="K208" s="21"/>
      <c r="L208" s="21"/>
      <c r="M208" s="21" t="e">
        <f>VLOOKUP(B:B,#REF!,1,0)</f>
        <v>#REF!</v>
      </c>
      <c r="N208" s="21">
        <v>7289359</v>
      </c>
      <c r="O208" s="21">
        <v>7289359</v>
      </c>
      <c r="P208" s="21">
        <v>7289359</v>
      </c>
      <c r="Q208" s="21"/>
    </row>
    <row r="209" spans="1:17" x14ac:dyDescent="0.3">
      <c r="A209" s="13">
        <v>2025078986</v>
      </c>
      <c r="B209" s="13">
        <v>11261823</v>
      </c>
      <c r="C209" s="13" t="s">
        <v>8</v>
      </c>
      <c r="D209" s="13" t="s">
        <v>23</v>
      </c>
      <c r="E209" s="13">
        <v>1015449218</v>
      </c>
      <c r="F209" s="13">
        <v>24438</v>
      </c>
      <c r="G209" s="13" t="s">
        <v>10</v>
      </c>
      <c r="H209" s="13">
        <v>12328</v>
      </c>
      <c r="I209" s="14">
        <v>2600000</v>
      </c>
      <c r="J209" s="52">
        <v>45922</v>
      </c>
      <c r="K209" s="21" t="s">
        <v>67</v>
      </c>
      <c r="L209" s="21"/>
      <c r="M209" s="21" t="e">
        <f>VLOOKUP(B:B,#REF!,1,0)</f>
        <v>#REF!</v>
      </c>
      <c r="N209" s="21">
        <v>11261823</v>
      </c>
      <c r="O209" s="21">
        <v>11261823</v>
      </c>
      <c r="P209" s="21">
        <v>11261823</v>
      </c>
      <c r="Q209" s="21"/>
    </row>
    <row r="210" spans="1:17" x14ac:dyDescent="0.3">
      <c r="A210" s="13">
        <v>2025079035</v>
      </c>
      <c r="B210" s="13">
        <v>6461020</v>
      </c>
      <c r="C210" s="13" t="s">
        <v>8</v>
      </c>
      <c r="D210" s="13" t="s">
        <v>13</v>
      </c>
      <c r="E210" s="13">
        <v>52756032</v>
      </c>
      <c r="F210" s="13">
        <v>26668</v>
      </c>
      <c r="G210" s="13" t="s">
        <v>10</v>
      </c>
      <c r="H210" s="13">
        <v>14156</v>
      </c>
      <c r="I210" s="14">
        <v>2557576</v>
      </c>
      <c r="J210" s="21"/>
      <c r="K210" s="21"/>
      <c r="L210" s="21"/>
      <c r="M210" s="21" t="e">
        <f>VLOOKUP(B:B,#REF!,1,0)</f>
        <v>#REF!</v>
      </c>
      <c r="N210" s="21">
        <v>6461020</v>
      </c>
      <c r="O210" s="21">
        <v>6461020</v>
      </c>
      <c r="P210" s="21">
        <v>6461020</v>
      </c>
      <c r="Q210" s="21"/>
    </row>
    <row r="211" spans="1:17" x14ac:dyDescent="0.3">
      <c r="A211" s="13">
        <v>2025076328</v>
      </c>
      <c r="B211" s="13">
        <v>11639240</v>
      </c>
      <c r="C211" s="13" t="s">
        <v>8</v>
      </c>
      <c r="D211" s="13" t="s">
        <v>21</v>
      </c>
      <c r="E211" s="13">
        <v>1000727404</v>
      </c>
      <c r="F211" s="13">
        <v>24436</v>
      </c>
      <c r="G211" s="13" t="s">
        <v>10</v>
      </c>
      <c r="H211" s="13">
        <v>10178</v>
      </c>
      <c r="I211" s="14">
        <v>2528000</v>
      </c>
      <c r="J211" s="52">
        <v>45922</v>
      </c>
      <c r="K211" s="21" t="s">
        <v>67</v>
      </c>
      <c r="L211" s="21"/>
      <c r="M211" s="21" t="e">
        <f>VLOOKUP(B:B,#REF!,1,0)</f>
        <v>#REF!</v>
      </c>
      <c r="N211" s="21">
        <v>11639240</v>
      </c>
      <c r="O211" s="21">
        <v>11639240</v>
      </c>
      <c r="P211" s="21">
        <v>11639240</v>
      </c>
      <c r="Q211" s="21"/>
    </row>
    <row r="212" spans="1:17" x14ac:dyDescent="0.3">
      <c r="A212" s="13">
        <v>2025075958</v>
      </c>
      <c r="B212" s="13">
        <v>11148767</v>
      </c>
      <c r="C212" s="13" t="s">
        <v>8</v>
      </c>
      <c r="D212" s="13" t="s">
        <v>65</v>
      </c>
      <c r="E212" s="13">
        <v>1000338067</v>
      </c>
      <c r="F212" s="13">
        <v>24433</v>
      </c>
      <c r="G212" s="13" t="s">
        <v>10</v>
      </c>
      <c r="H212" s="13">
        <v>13175</v>
      </c>
      <c r="I212" s="14">
        <v>2524800</v>
      </c>
      <c r="J212" s="21"/>
      <c r="K212" s="21"/>
      <c r="L212" s="21"/>
      <c r="M212" s="21" t="e">
        <f>VLOOKUP(B:B,#REF!,1,0)</f>
        <v>#REF!</v>
      </c>
      <c r="N212" s="21">
        <v>11148767</v>
      </c>
      <c r="O212" s="21">
        <v>11148767</v>
      </c>
      <c r="P212" s="21">
        <v>11148767</v>
      </c>
      <c r="Q212" s="21"/>
    </row>
    <row r="213" spans="1:17" x14ac:dyDescent="0.3">
      <c r="A213" s="13">
        <v>2025077614</v>
      </c>
      <c r="B213" s="13">
        <v>10868471</v>
      </c>
      <c r="C213" s="13" t="s">
        <v>8</v>
      </c>
      <c r="D213" s="13" t="s">
        <v>26</v>
      </c>
      <c r="E213" s="13">
        <v>1018439309</v>
      </c>
      <c r="F213" s="13">
        <v>23384</v>
      </c>
      <c r="G213" s="13" t="s">
        <v>10</v>
      </c>
      <c r="H213" s="13">
        <v>13093</v>
      </c>
      <c r="I213" s="14">
        <v>2524000</v>
      </c>
      <c r="J213" s="21"/>
      <c r="K213" s="21"/>
      <c r="L213" s="21"/>
      <c r="M213" s="21" t="e">
        <f>VLOOKUP(B:B,#REF!,1,0)</f>
        <v>#REF!</v>
      </c>
      <c r="N213" s="21">
        <v>10868471</v>
      </c>
      <c r="O213" s="21">
        <v>10868471</v>
      </c>
      <c r="P213" s="21">
        <v>10868471</v>
      </c>
      <c r="Q213" s="21"/>
    </row>
    <row r="214" spans="1:17" x14ac:dyDescent="0.3">
      <c r="A214" s="13">
        <v>2025074322</v>
      </c>
      <c r="B214" s="13">
        <v>7459180</v>
      </c>
      <c r="C214" s="13" t="s">
        <v>8</v>
      </c>
      <c r="D214" s="13" t="s">
        <v>16</v>
      </c>
      <c r="E214" s="13">
        <v>1019115964</v>
      </c>
      <c r="F214" s="13">
        <v>23410</v>
      </c>
      <c r="G214" s="13" t="s">
        <v>10</v>
      </c>
      <c r="H214" s="13">
        <v>10859</v>
      </c>
      <c r="I214" s="14">
        <v>2515718</v>
      </c>
      <c r="J214" s="21"/>
      <c r="K214" s="21"/>
      <c r="L214" s="21"/>
      <c r="M214" s="21" t="e">
        <f>VLOOKUP(B:B,#REF!,1,0)</f>
        <v>#REF!</v>
      </c>
      <c r="N214" s="21">
        <v>7459180</v>
      </c>
      <c r="O214" s="21">
        <v>7459180</v>
      </c>
      <c r="P214" s="21">
        <v>7459180</v>
      </c>
      <c r="Q214" s="21"/>
    </row>
    <row r="215" spans="1:17" x14ac:dyDescent="0.3">
      <c r="A215" s="13">
        <v>2025071984</v>
      </c>
      <c r="B215" s="13">
        <v>10684025</v>
      </c>
      <c r="C215" s="13" t="s">
        <v>28</v>
      </c>
      <c r="D215" s="13" t="s">
        <v>33</v>
      </c>
      <c r="E215" s="13">
        <v>6479682</v>
      </c>
      <c r="F215" s="13">
        <v>27164</v>
      </c>
      <c r="G215" s="13" t="s">
        <v>10</v>
      </c>
      <c r="H215" s="13">
        <v>11147</v>
      </c>
      <c r="I215" s="14">
        <v>2500000</v>
      </c>
      <c r="J215" s="21"/>
      <c r="K215" s="21"/>
      <c r="L215" s="21"/>
      <c r="M215" s="21" t="e">
        <f>VLOOKUP(B:B,#REF!,1,0)</f>
        <v>#REF!</v>
      </c>
      <c r="N215" s="21">
        <v>10684025</v>
      </c>
      <c r="O215" s="21" t="e">
        <v>#N/A</v>
      </c>
      <c r="P215" s="21">
        <v>10684025</v>
      </c>
      <c r="Q215" s="21"/>
    </row>
    <row r="216" spans="1:17" x14ac:dyDescent="0.3">
      <c r="A216" s="13">
        <v>2025072071</v>
      </c>
      <c r="B216" s="13">
        <v>11465910</v>
      </c>
      <c r="C216" s="13" t="s">
        <v>8</v>
      </c>
      <c r="D216" s="13" t="s">
        <v>17</v>
      </c>
      <c r="E216" s="13">
        <v>1014284618</v>
      </c>
      <c r="F216" s="13">
        <v>27083</v>
      </c>
      <c r="G216" s="13" t="s">
        <v>10</v>
      </c>
      <c r="H216" s="13">
        <v>13563</v>
      </c>
      <c r="I216" s="14">
        <v>2500000</v>
      </c>
      <c r="J216" s="52">
        <v>45922</v>
      </c>
      <c r="K216" s="21" t="s">
        <v>67</v>
      </c>
      <c r="L216" s="21"/>
      <c r="M216" s="21" t="e">
        <f>VLOOKUP(B:B,#REF!,1,0)</f>
        <v>#REF!</v>
      </c>
      <c r="N216" s="21">
        <v>11465910</v>
      </c>
      <c r="O216" s="21">
        <v>11465910</v>
      </c>
      <c r="P216" s="21">
        <v>11465910</v>
      </c>
      <c r="Q216" s="21"/>
    </row>
    <row r="217" spans="1:17" x14ac:dyDescent="0.3">
      <c r="A217" s="13">
        <v>2025072934</v>
      </c>
      <c r="B217" s="13">
        <v>11573270</v>
      </c>
      <c r="C217" s="13" t="s">
        <v>8</v>
      </c>
      <c r="D217" s="13" t="s">
        <v>19</v>
      </c>
      <c r="E217" s="13">
        <v>1024593276</v>
      </c>
      <c r="F217" s="13">
        <v>27068</v>
      </c>
      <c r="G217" s="13" t="s">
        <v>10</v>
      </c>
      <c r="H217" s="13">
        <v>13609</v>
      </c>
      <c r="I217" s="14">
        <v>2500000</v>
      </c>
      <c r="J217" s="21"/>
      <c r="K217" s="21"/>
      <c r="L217" s="21"/>
      <c r="M217" s="21" t="e">
        <f>VLOOKUP(B:B,#REF!,1,0)</f>
        <v>#REF!</v>
      </c>
      <c r="N217" s="21">
        <v>11573270</v>
      </c>
      <c r="O217" s="21">
        <v>11573270</v>
      </c>
      <c r="P217" s="21">
        <v>11573270</v>
      </c>
      <c r="Q217" s="21"/>
    </row>
    <row r="218" spans="1:17" x14ac:dyDescent="0.3">
      <c r="A218" s="13">
        <v>2025073023</v>
      </c>
      <c r="B218" s="13">
        <v>7841070</v>
      </c>
      <c r="C218" s="13" t="s">
        <v>8</v>
      </c>
      <c r="D218" s="13" t="s">
        <v>22</v>
      </c>
      <c r="E218" s="13">
        <v>1001116838</v>
      </c>
      <c r="F218" s="13">
        <v>27104</v>
      </c>
      <c r="G218" s="13" t="s">
        <v>10</v>
      </c>
      <c r="H218" s="13">
        <v>11444</v>
      </c>
      <c r="I218" s="14">
        <v>2500000</v>
      </c>
      <c r="J218" s="21"/>
      <c r="K218" s="21"/>
      <c r="L218" s="21"/>
      <c r="M218" s="21" t="e">
        <f>VLOOKUP(B:B,#REF!,1,0)</f>
        <v>#REF!</v>
      </c>
      <c r="N218" s="21">
        <v>7841070</v>
      </c>
      <c r="O218" s="21">
        <v>7841070</v>
      </c>
      <c r="P218" s="21">
        <v>7841070</v>
      </c>
      <c r="Q218" s="21"/>
    </row>
    <row r="219" spans="1:17" x14ac:dyDescent="0.3">
      <c r="A219" s="13">
        <v>2025076311</v>
      </c>
      <c r="B219" s="13">
        <v>11614497</v>
      </c>
      <c r="C219" s="13" t="s">
        <v>8</v>
      </c>
      <c r="D219" s="13" t="s">
        <v>18</v>
      </c>
      <c r="E219" s="13">
        <v>1032677388</v>
      </c>
      <c r="F219" s="13">
        <v>26623</v>
      </c>
      <c r="G219" s="13" t="s">
        <v>10</v>
      </c>
      <c r="H219" s="13">
        <v>1392</v>
      </c>
      <c r="I219" s="14">
        <v>2500000</v>
      </c>
      <c r="J219" s="21"/>
      <c r="K219" s="21"/>
      <c r="L219" s="21"/>
      <c r="M219" s="21" t="e">
        <f>VLOOKUP(B:B,#REF!,1,0)</f>
        <v>#REF!</v>
      </c>
      <c r="N219" s="21">
        <v>11614497</v>
      </c>
      <c r="O219" s="21">
        <v>11614497</v>
      </c>
      <c r="P219" s="21">
        <v>11614497</v>
      </c>
      <c r="Q219" s="21"/>
    </row>
    <row r="220" spans="1:17" x14ac:dyDescent="0.3">
      <c r="A220" s="13">
        <v>2025074860</v>
      </c>
      <c r="B220" s="13">
        <v>7835312</v>
      </c>
      <c r="C220" s="13" t="s">
        <v>8</v>
      </c>
      <c r="D220" s="13" t="s">
        <v>24</v>
      </c>
      <c r="E220" s="13">
        <v>1138074284</v>
      </c>
      <c r="F220" s="13">
        <v>27172</v>
      </c>
      <c r="G220" s="13" t="s">
        <v>10</v>
      </c>
      <c r="H220" s="13">
        <v>13465</v>
      </c>
      <c r="I220" s="14">
        <v>2500000</v>
      </c>
      <c r="J220" s="21"/>
      <c r="K220" s="21"/>
      <c r="L220" s="21"/>
      <c r="M220" s="21" t="e">
        <f>VLOOKUP(B:B,#REF!,1,0)</f>
        <v>#REF!</v>
      </c>
      <c r="N220" s="21">
        <v>7835312</v>
      </c>
      <c r="O220" s="21">
        <v>7835312</v>
      </c>
      <c r="P220" s="21">
        <v>7835312</v>
      </c>
      <c r="Q220" s="21"/>
    </row>
    <row r="221" spans="1:17" x14ac:dyDescent="0.3">
      <c r="A221" s="13">
        <v>2025074093</v>
      </c>
      <c r="B221" s="13">
        <v>11586225</v>
      </c>
      <c r="C221" s="13" t="s">
        <v>8</v>
      </c>
      <c r="D221" s="13" t="s">
        <v>9</v>
      </c>
      <c r="E221" s="13">
        <v>1001275619</v>
      </c>
      <c r="F221" s="13">
        <v>27063</v>
      </c>
      <c r="G221" s="13" t="s">
        <v>10</v>
      </c>
      <c r="H221" s="13">
        <v>728</v>
      </c>
      <c r="I221" s="14">
        <v>2500000</v>
      </c>
      <c r="J221" s="21"/>
      <c r="K221" s="21"/>
      <c r="L221" s="21"/>
      <c r="M221" s="21" t="e">
        <f>VLOOKUP(B:B,#REF!,1,0)</f>
        <v>#REF!</v>
      </c>
      <c r="N221" s="21">
        <v>11586225</v>
      </c>
      <c r="O221" s="21">
        <v>11586225</v>
      </c>
      <c r="P221" s="21">
        <v>11586225</v>
      </c>
      <c r="Q221" s="21"/>
    </row>
    <row r="222" spans="1:17" x14ac:dyDescent="0.3">
      <c r="A222" s="13">
        <v>2025074108</v>
      </c>
      <c r="B222" s="13">
        <v>11532652</v>
      </c>
      <c r="C222" s="13" t="s">
        <v>8</v>
      </c>
      <c r="D222" s="13" t="s">
        <v>11</v>
      </c>
      <c r="E222" s="13">
        <v>1016106935</v>
      </c>
      <c r="F222" s="13">
        <v>27064</v>
      </c>
      <c r="G222" s="13" t="s">
        <v>10</v>
      </c>
      <c r="H222" s="13">
        <v>2189</v>
      </c>
      <c r="I222" s="14">
        <v>2500000</v>
      </c>
      <c r="J222" s="52">
        <v>45922</v>
      </c>
      <c r="K222" s="21" t="s">
        <v>67</v>
      </c>
      <c r="L222" s="21"/>
      <c r="M222" s="21" t="e">
        <f>VLOOKUP(B:B,#REF!,1,0)</f>
        <v>#REF!</v>
      </c>
      <c r="N222" s="21">
        <v>11532652</v>
      </c>
      <c r="O222" s="21">
        <v>11532652</v>
      </c>
      <c r="P222" s="21">
        <v>11532652</v>
      </c>
      <c r="Q222" s="21"/>
    </row>
    <row r="223" spans="1:17" x14ac:dyDescent="0.3">
      <c r="A223" s="13">
        <v>2025079101</v>
      </c>
      <c r="B223" s="13">
        <v>11549132</v>
      </c>
      <c r="C223" s="13" t="s">
        <v>8</v>
      </c>
      <c r="D223" s="13" t="s">
        <v>27</v>
      </c>
      <c r="E223" s="13">
        <v>1000218098</v>
      </c>
      <c r="F223" s="13">
        <v>26786</v>
      </c>
      <c r="G223" s="13" t="s">
        <v>10</v>
      </c>
      <c r="H223" s="13">
        <v>13010</v>
      </c>
      <c r="I223" s="14">
        <v>2500000</v>
      </c>
      <c r="J223" s="52">
        <v>45922</v>
      </c>
      <c r="K223" s="21" t="s">
        <v>67</v>
      </c>
      <c r="L223" s="21"/>
      <c r="M223" s="21" t="e">
        <f>VLOOKUP(B:B,#REF!,1,0)</f>
        <v>#REF!</v>
      </c>
      <c r="N223" s="21">
        <v>11549132</v>
      </c>
      <c r="O223" s="21">
        <v>11549132</v>
      </c>
      <c r="P223" s="21">
        <v>11549132</v>
      </c>
      <c r="Q223" s="21"/>
    </row>
    <row r="224" spans="1:17" x14ac:dyDescent="0.3">
      <c r="A224" s="13">
        <v>2025076723</v>
      </c>
      <c r="B224" s="13">
        <v>10711615</v>
      </c>
      <c r="C224" s="13" t="s">
        <v>8</v>
      </c>
      <c r="D224" s="13" t="s">
        <v>15</v>
      </c>
      <c r="E224" s="13">
        <v>1012434013</v>
      </c>
      <c r="F224" s="13">
        <v>26735</v>
      </c>
      <c r="G224" s="13" t="s">
        <v>10</v>
      </c>
      <c r="H224" s="13">
        <v>343</v>
      </c>
      <c r="I224" s="14">
        <v>2499680</v>
      </c>
      <c r="J224" s="52">
        <v>45922</v>
      </c>
      <c r="K224" s="21" t="s">
        <v>67</v>
      </c>
      <c r="L224" s="21"/>
      <c r="M224" s="21" t="e">
        <f>VLOOKUP(B:B,#REF!,1,0)</f>
        <v>#REF!</v>
      </c>
      <c r="N224" s="21">
        <v>10711615</v>
      </c>
      <c r="O224" s="21">
        <v>10711615</v>
      </c>
      <c r="P224" s="21" t="e">
        <v>#N/A</v>
      </c>
      <c r="Q224" s="21"/>
    </row>
    <row r="225" spans="1:17" x14ac:dyDescent="0.3">
      <c r="A225" s="13">
        <v>2025076385</v>
      </c>
      <c r="B225" s="13">
        <v>11228012</v>
      </c>
      <c r="C225" s="13" t="s">
        <v>8</v>
      </c>
      <c r="D225" s="13" t="s">
        <v>20</v>
      </c>
      <c r="E225" s="13">
        <v>52837437</v>
      </c>
      <c r="F225" s="13">
        <v>26730</v>
      </c>
      <c r="G225" s="13" t="s">
        <v>10</v>
      </c>
      <c r="H225" s="13">
        <v>13071</v>
      </c>
      <c r="I225" s="14">
        <v>2496000</v>
      </c>
      <c r="J225" s="21"/>
      <c r="K225" s="21"/>
      <c r="L225" s="21"/>
      <c r="M225" s="21" t="e">
        <f>VLOOKUP(B:B,#REF!,1,0)</f>
        <v>#REF!</v>
      </c>
      <c r="N225" s="21">
        <v>11228012</v>
      </c>
      <c r="O225" s="21">
        <v>11228012</v>
      </c>
      <c r="P225" s="21">
        <v>11228012</v>
      </c>
      <c r="Q225" s="21"/>
    </row>
    <row r="226" spans="1:17" x14ac:dyDescent="0.3">
      <c r="A226" s="13">
        <v>2025077645</v>
      </c>
      <c r="B226" s="13">
        <v>10295681</v>
      </c>
      <c r="C226" s="13" t="s">
        <v>8</v>
      </c>
      <c r="D226" s="13" t="s">
        <v>14</v>
      </c>
      <c r="E226" s="13">
        <v>1033685482</v>
      </c>
      <c r="F226" s="13">
        <v>24441</v>
      </c>
      <c r="G226" s="13" t="s">
        <v>10</v>
      </c>
      <c r="H226" s="13">
        <v>483</v>
      </c>
      <c r="I226" s="14">
        <v>2488640</v>
      </c>
      <c r="J226" s="21"/>
      <c r="K226" s="21"/>
      <c r="L226" s="21"/>
      <c r="M226" s="21" t="e">
        <f>VLOOKUP(B:B,#REF!,1,0)</f>
        <v>#REF!</v>
      </c>
      <c r="N226" s="21">
        <v>10295681</v>
      </c>
      <c r="O226" s="21">
        <v>10295681</v>
      </c>
      <c r="P226" s="21">
        <v>10295681</v>
      </c>
      <c r="Q226" s="21"/>
    </row>
    <row r="227" spans="1:17" x14ac:dyDescent="0.3">
      <c r="A227" s="13">
        <v>2025072780</v>
      </c>
      <c r="B227" s="13">
        <v>10033963</v>
      </c>
      <c r="C227" s="13" t="s">
        <v>8</v>
      </c>
      <c r="D227" s="13" t="s">
        <v>25</v>
      </c>
      <c r="E227" s="13">
        <v>1002525594</v>
      </c>
      <c r="F227" s="13">
        <v>26731</v>
      </c>
      <c r="G227" s="13" t="s">
        <v>10</v>
      </c>
      <c r="H227" s="13">
        <v>11048</v>
      </c>
      <c r="I227" s="14">
        <v>2486600</v>
      </c>
      <c r="J227" s="52">
        <v>45924</v>
      </c>
      <c r="K227" s="21" t="s">
        <v>87</v>
      </c>
      <c r="L227" s="21"/>
      <c r="M227" s="21" t="e">
        <f>VLOOKUP(B:B,#REF!,1,0)</f>
        <v>#REF!</v>
      </c>
      <c r="N227" s="21" t="e">
        <v>#N/A</v>
      </c>
      <c r="O227" s="21">
        <v>10033963</v>
      </c>
      <c r="P227" s="21" t="e">
        <v>#N/A</v>
      </c>
      <c r="Q227" s="21"/>
    </row>
    <row r="228" spans="1:17" x14ac:dyDescent="0.3">
      <c r="A228" s="13">
        <v>2025079183</v>
      </c>
      <c r="B228" s="13">
        <v>5415913</v>
      </c>
      <c r="C228" s="13" t="s">
        <v>8</v>
      </c>
      <c r="D228" s="13" t="s">
        <v>23</v>
      </c>
      <c r="E228" s="13">
        <v>1015449218</v>
      </c>
      <c r="F228" s="13">
        <v>24438</v>
      </c>
      <c r="G228" s="13" t="s">
        <v>10</v>
      </c>
      <c r="H228" s="13">
        <v>10909</v>
      </c>
      <c r="I228" s="14">
        <v>2460142</v>
      </c>
      <c r="J228" s="52">
        <v>45922</v>
      </c>
      <c r="K228" s="21" t="s">
        <v>67</v>
      </c>
      <c r="L228" s="21"/>
      <c r="M228" s="21" t="e">
        <f>VLOOKUP(B:B,#REF!,1,0)</f>
        <v>#REF!</v>
      </c>
      <c r="N228" s="21">
        <v>5415913</v>
      </c>
      <c r="O228" s="21">
        <v>5415913</v>
      </c>
      <c r="P228" s="21">
        <v>5415913</v>
      </c>
      <c r="Q228" s="21"/>
    </row>
    <row r="229" spans="1:17" x14ac:dyDescent="0.3">
      <c r="A229" s="13">
        <v>2025077074</v>
      </c>
      <c r="B229" s="13">
        <v>11487675</v>
      </c>
      <c r="C229" s="13" t="s">
        <v>8</v>
      </c>
      <c r="D229" s="13" t="s">
        <v>21</v>
      </c>
      <c r="E229" s="13">
        <v>1000727404</v>
      </c>
      <c r="F229" s="13">
        <v>24436</v>
      </c>
      <c r="G229" s="13" t="s">
        <v>10</v>
      </c>
      <c r="H229" s="13">
        <v>14147</v>
      </c>
      <c r="I229" s="14">
        <v>2400000</v>
      </c>
      <c r="J229" s="52">
        <v>45922</v>
      </c>
      <c r="K229" s="21" t="s">
        <v>67</v>
      </c>
      <c r="L229" s="21"/>
      <c r="M229" s="21" t="e">
        <f>VLOOKUP(B:B,#REF!,1,0)</f>
        <v>#REF!</v>
      </c>
      <c r="N229" s="21">
        <v>11487675</v>
      </c>
      <c r="O229" s="21">
        <v>11487675</v>
      </c>
      <c r="P229" s="21">
        <v>11487675</v>
      </c>
      <c r="Q229" s="21"/>
    </row>
    <row r="230" spans="1:17" x14ac:dyDescent="0.3">
      <c r="A230" s="13">
        <v>2025079056</v>
      </c>
      <c r="B230" s="13">
        <v>11585720</v>
      </c>
      <c r="C230" s="13" t="s">
        <v>8</v>
      </c>
      <c r="D230" s="13" t="s">
        <v>13</v>
      </c>
      <c r="E230" s="13">
        <v>52756032</v>
      </c>
      <c r="F230" s="13">
        <v>26668</v>
      </c>
      <c r="G230" s="13" t="s">
        <v>10</v>
      </c>
      <c r="H230" s="13">
        <v>446</v>
      </c>
      <c r="I230" s="14">
        <v>2400000</v>
      </c>
      <c r="J230" s="21"/>
      <c r="K230" s="21"/>
      <c r="L230" s="21"/>
      <c r="M230" s="21" t="e">
        <f>VLOOKUP(B:B,#REF!,1,0)</f>
        <v>#REF!</v>
      </c>
      <c r="N230" s="21">
        <v>11585720</v>
      </c>
      <c r="O230" s="21">
        <v>11585720</v>
      </c>
      <c r="P230" s="21">
        <v>11585720</v>
      </c>
      <c r="Q230" s="21"/>
    </row>
    <row r="231" spans="1:17" x14ac:dyDescent="0.3">
      <c r="A231" s="13">
        <v>2025072583</v>
      </c>
      <c r="B231" s="13">
        <v>10135655</v>
      </c>
      <c r="C231" s="13" t="s">
        <v>8</v>
      </c>
      <c r="D231" s="13" t="s">
        <v>65</v>
      </c>
      <c r="E231" s="13">
        <v>1000338067</v>
      </c>
      <c r="F231" s="13">
        <v>24433</v>
      </c>
      <c r="G231" s="13" t="s">
        <v>10</v>
      </c>
      <c r="H231" s="13">
        <v>1035</v>
      </c>
      <c r="I231" s="14">
        <v>2395948</v>
      </c>
      <c r="J231" s="21"/>
      <c r="K231" s="21"/>
      <c r="L231" s="21"/>
      <c r="M231" s="21" t="e">
        <f>VLOOKUP(B:B,#REF!,1,0)</f>
        <v>#REF!</v>
      </c>
      <c r="N231" s="21">
        <v>10135655</v>
      </c>
      <c r="O231" s="21">
        <v>10135655</v>
      </c>
      <c r="P231" s="21">
        <v>10135655</v>
      </c>
      <c r="Q231" s="21"/>
    </row>
    <row r="232" spans="1:17" x14ac:dyDescent="0.3">
      <c r="A232" s="13">
        <v>2025075887</v>
      </c>
      <c r="B232" s="13">
        <v>10022243</v>
      </c>
      <c r="C232" s="13" t="s">
        <v>8</v>
      </c>
      <c r="D232" s="13" t="s">
        <v>26</v>
      </c>
      <c r="E232" s="13">
        <v>1018439309</v>
      </c>
      <c r="F232" s="13">
        <v>23384</v>
      </c>
      <c r="G232" s="13" t="s">
        <v>10</v>
      </c>
      <c r="H232" s="13">
        <v>13175</v>
      </c>
      <c r="I232" s="14">
        <v>2395800</v>
      </c>
      <c r="J232" s="21"/>
      <c r="K232" s="21"/>
      <c r="L232" s="21"/>
      <c r="M232" s="21" t="e">
        <f>VLOOKUP(B:B,#REF!,1,0)</f>
        <v>#REF!</v>
      </c>
      <c r="N232" s="21">
        <v>10022243</v>
      </c>
      <c r="O232" s="21">
        <v>10022243</v>
      </c>
      <c r="P232" s="21">
        <v>10022243</v>
      </c>
      <c r="Q232" s="21"/>
    </row>
    <row r="233" spans="1:17" x14ac:dyDescent="0.3">
      <c r="A233" s="13">
        <v>2025078233</v>
      </c>
      <c r="B233" s="13">
        <v>10317150</v>
      </c>
      <c r="C233" s="13" t="s">
        <v>8</v>
      </c>
      <c r="D233" s="13" t="s">
        <v>16</v>
      </c>
      <c r="E233" s="13">
        <v>1019115964</v>
      </c>
      <c r="F233" s="13">
        <v>23410</v>
      </c>
      <c r="G233" s="13" t="s">
        <v>10</v>
      </c>
      <c r="H233" s="13">
        <v>12267</v>
      </c>
      <c r="I233" s="14">
        <v>2385872</v>
      </c>
      <c r="J233" s="21"/>
      <c r="K233" s="21"/>
      <c r="L233" s="21"/>
      <c r="M233" s="21" t="e">
        <f>VLOOKUP(B:B,#REF!,1,0)</f>
        <v>#REF!</v>
      </c>
      <c r="N233" s="21">
        <v>10317150</v>
      </c>
      <c r="O233" s="21">
        <v>10317150</v>
      </c>
      <c r="P233" s="21">
        <v>10317150</v>
      </c>
      <c r="Q233" s="21"/>
    </row>
    <row r="234" spans="1:17" x14ac:dyDescent="0.3">
      <c r="A234" s="13">
        <v>2025079107</v>
      </c>
      <c r="B234" s="13">
        <v>7693345</v>
      </c>
      <c r="C234" s="13" t="s">
        <v>8</v>
      </c>
      <c r="D234" s="13" t="s">
        <v>18</v>
      </c>
      <c r="E234" s="13">
        <v>1032677388</v>
      </c>
      <c r="F234" s="13">
        <v>26623</v>
      </c>
      <c r="G234" s="13" t="s">
        <v>10</v>
      </c>
      <c r="H234" s="13">
        <v>446</v>
      </c>
      <c r="I234" s="14">
        <v>2368228</v>
      </c>
      <c r="J234" s="21"/>
      <c r="K234" s="21"/>
      <c r="L234" s="21"/>
      <c r="M234" s="21" t="e">
        <f>VLOOKUP(B:B,#REF!,1,0)</f>
        <v>#REF!</v>
      </c>
      <c r="N234" s="21">
        <v>7693345</v>
      </c>
      <c r="O234" s="21">
        <v>7693345</v>
      </c>
      <c r="P234" s="21">
        <v>7693345</v>
      </c>
      <c r="Q234" s="21"/>
    </row>
    <row r="235" spans="1:17" x14ac:dyDescent="0.3">
      <c r="A235" s="13">
        <v>2025077759</v>
      </c>
      <c r="B235" s="13">
        <v>11195846</v>
      </c>
      <c r="C235" s="13" t="s">
        <v>8</v>
      </c>
      <c r="D235" s="13" t="s">
        <v>22</v>
      </c>
      <c r="E235" s="13">
        <v>1001116838</v>
      </c>
      <c r="F235" s="13">
        <v>27104</v>
      </c>
      <c r="G235" s="13" t="s">
        <v>10</v>
      </c>
      <c r="H235" s="13">
        <v>483</v>
      </c>
      <c r="I235" s="14">
        <v>2359800</v>
      </c>
      <c r="J235" s="52">
        <v>45922</v>
      </c>
      <c r="K235" s="21" t="s">
        <v>67</v>
      </c>
      <c r="L235" s="21"/>
      <c r="M235" s="21" t="e">
        <f>VLOOKUP(B:B,#REF!,1,0)</f>
        <v>#REF!</v>
      </c>
      <c r="N235" s="21">
        <v>11195846</v>
      </c>
      <c r="O235" s="21">
        <v>11195846</v>
      </c>
      <c r="P235" s="21" t="e">
        <v>#N/A</v>
      </c>
      <c r="Q235" s="21"/>
    </row>
    <row r="236" spans="1:17" x14ac:dyDescent="0.3">
      <c r="A236" s="13">
        <v>2025074573</v>
      </c>
      <c r="B236" s="13">
        <v>6393417</v>
      </c>
      <c r="C236" s="13" t="s">
        <v>8</v>
      </c>
      <c r="D236" s="13" t="s">
        <v>24</v>
      </c>
      <c r="E236" s="13">
        <v>1138074284</v>
      </c>
      <c r="F236" s="13">
        <v>27172</v>
      </c>
      <c r="G236" s="13" t="s">
        <v>10</v>
      </c>
      <c r="H236" s="13">
        <v>13150</v>
      </c>
      <c r="I236" s="14">
        <v>2357800</v>
      </c>
      <c r="J236" s="52">
        <v>45922</v>
      </c>
      <c r="K236" s="21" t="s">
        <v>67</v>
      </c>
      <c r="L236" s="21"/>
      <c r="M236" s="21" t="e">
        <f>VLOOKUP(B:B,#REF!,1,0)</f>
        <v>#REF!</v>
      </c>
      <c r="N236" s="21">
        <v>6393417</v>
      </c>
      <c r="O236" s="21">
        <v>6393417</v>
      </c>
      <c r="P236" s="21">
        <v>6393417</v>
      </c>
      <c r="Q236" s="21"/>
    </row>
    <row r="237" spans="1:17" x14ac:dyDescent="0.3">
      <c r="A237" s="13">
        <v>2025074696</v>
      </c>
      <c r="B237" s="13">
        <v>11039239</v>
      </c>
      <c r="C237" s="13" t="s">
        <v>8</v>
      </c>
      <c r="D237" s="13" t="s">
        <v>9</v>
      </c>
      <c r="E237" s="13">
        <v>1001275619</v>
      </c>
      <c r="F237" s="13">
        <v>27063</v>
      </c>
      <c r="G237" s="13" t="s">
        <v>10</v>
      </c>
      <c r="H237" s="13">
        <v>429</v>
      </c>
      <c r="I237" s="14">
        <v>2352000</v>
      </c>
      <c r="J237" s="21"/>
      <c r="K237" s="21"/>
      <c r="L237" s="21"/>
      <c r="M237" s="21" t="e">
        <f>VLOOKUP(B:B,#REF!,1,0)</f>
        <v>#REF!</v>
      </c>
      <c r="N237" s="21">
        <v>11039239</v>
      </c>
      <c r="O237" s="21">
        <v>11039239</v>
      </c>
      <c r="P237" s="21">
        <v>11039239</v>
      </c>
      <c r="Q237" s="21"/>
    </row>
    <row r="238" spans="1:17" x14ac:dyDescent="0.3">
      <c r="A238" s="13">
        <v>2025078752</v>
      </c>
      <c r="B238" s="13">
        <v>7539587</v>
      </c>
      <c r="C238" s="13" t="s">
        <v>8</v>
      </c>
      <c r="D238" s="13" t="s">
        <v>27</v>
      </c>
      <c r="E238" s="13">
        <v>1000218098</v>
      </c>
      <c r="F238" s="13">
        <v>26786</v>
      </c>
      <c r="G238" s="13" t="s">
        <v>10</v>
      </c>
      <c r="H238" s="13">
        <v>52</v>
      </c>
      <c r="I238" s="14">
        <v>2351116</v>
      </c>
      <c r="J238" s="21"/>
      <c r="K238" s="21"/>
      <c r="L238" s="21"/>
      <c r="M238" s="21" t="e">
        <f>VLOOKUP(B:B,#REF!,1,0)</f>
        <v>#REF!</v>
      </c>
      <c r="N238" s="21">
        <v>7539587</v>
      </c>
      <c r="O238" s="21">
        <v>7539587</v>
      </c>
      <c r="P238" s="21">
        <v>7539587</v>
      </c>
      <c r="Q238" s="21"/>
    </row>
    <row r="239" spans="1:17" x14ac:dyDescent="0.3">
      <c r="A239" s="13">
        <v>2025075813</v>
      </c>
      <c r="B239" s="13">
        <v>10003612</v>
      </c>
      <c r="C239" s="13" t="s">
        <v>8</v>
      </c>
      <c r="D239" s="13" t="s">
        <v>11</v>
      </c>
      <c r="E239" s="13">
        <v>1016106935</v>
      </c>
      <c r="F239" s="13">
        <v>27064</v>
      </c>
      <c r="G239" s="13" t="s">
        <v>10</v>
      </c>
      <c r="H239" s="13">
        <v>13439</v>
      </c>
      <c r="I239" s="14">
        <v>2350218</v>
      </c>
      <c r="J239" s="21"/>
      <c r="K239" s="21"/>
      <c r="L239" s="21"/>
      <c r="M239" s="21" t="e">
        <f>VLOOKUP(B:B,#REF!,1,0)</f>
        <v>#REF!</v>
      </c>
      <c r="N239" s="21">
        <v>10003612</v>
      </c>
      <c r="O239" s="21">
        <v>10003612</v>
      </c>
      <c r="P239" s="21">
        <v>10003612</v>
      </c>
      <c r="Q239" s="21"/>
    </row>
    <row r="240" spans="1:17" x14ac:dyDescent="0.3">
      <c r="A240" s="13">
        <v>2025072490</v>
      </c>
      <c r="B240" s="13">
        <v>7258123</v>
      </c>
      <c r="C240" s="13" t="s">
        <v>8</v>
      </c>
      <c r="D240" s="13" t="s">
        <v>19</v>
      </c>
      <c r="E240" s="13">
        <v>1024593276</v>
      </c>
      <c r="F240" s="13">
        <v>27068</v>
      </c>
      <c r="G240" s="13" t="s">
        <v>10</v>
      </c>
      <c r="H240" s="13">
        <v>10925</v>
      </c>
      <c r="I240" s="14">
        <v>2350166</v>
      </c>
      <c r="J240" s="21"/>
      <c r="K240" s="21"/>
      <c r="L240" s="21"/>
      <c r="M240" s="21" t="e">
        <f>VLOOKUP(B:B,#REF!,1,0)</f>
        <v>#REF!</v>
      </c>
      <c r="N240" s="21">
        <v>7258123</v>
      </c>
      <c r="O240" s="21">
        <v>7258123</v>
      </c>
      <c r="P240" s="21">
        <v>7258123</v>
      </c>
      <c r="Q240" s="21"/>
    </row>
    <row r="241" spans="1:17" x14ac:dyDescent="0.3">
      <c r="A241" s="13">
        <v>2025074761</v>
      </c>
      <c r="B241" s="13">
        <v>10002437</v>
      </c>
      <c r="C241" s="13" t="s">
        <v>8</v>
      </c>
      <c r="D241" s="13" t="s">
        <v>17</v>
      </c>
      <c r="E241" s="13">
        <v>1014284618</v>
      </c>
      <c r="F241" s="13">
        <v>27083</v>
      </c>
      <c r="G241" s="13" t="s">
        <v>10</v>
      </c>
      <c r="H241" s="13">
        <v>429</v>
      </c>
      <c r="I241" s="14">
        <v>2350166</v>
      </c>
      <c r="J241" s="21"/>
      <c r="K241" s="21"/>
      <c r="L241" s="21"/>
      <c r="M241" s="21" t="e">
        <f>VLOOKUP(B:B,#REF!,1,0)</f>
        <v>#REF!</v>
      </c>
      <c r="N241" s="21">
        <v>10002437</v>
      </c>
      <c r="O241" s="21">
        <v>10002437</v>
      </c>
      <c r="P241" s="21">
        <v>10002437</v>
      </c>
      <c r="Q241" s="21"/>
    </row>
    <row r="242" spans="1:17" x14ac:dyDescent="0.3">
      <c r="A242" s="13">
        <v>2025073696</v>
      </c>
      <c r="B242" s="13">
        <v>7518742</v>
      </c>
      <c r="C242" s="13" t="s">
        <v>8</v>
      </c>
      <c r="D242" s="13" t="s">
        <v>14</v>
      </c>
      <c r="E242" s="13">
        <v>1033685482</v>
      </c>
      <c r="F242" s="13">
        <v>24441</v>
      </c>
      <c r="G242" s="13" t="s">
        <v>10</v>
      </c>
      <c r="H242" s="13">
        <v>11131</v>
      </c>
      <c r="I242" s="14">
        <v>2334884</v>
      </c>
      <c r="J242" s="21"/>
      <c r="K242" s="21"/>
      <c r="L242" s="21"/>
      <c r="M242" s="21" t="e">
        <f>VLOOKUP(B:B,#REF!,1,0)</f>
        <v>#REF!</v>
      </c>
      <c r="N242" s="21">
        <v>7518742</v>
      </c>
      <c r="O242" s="21">
        <v>7518742</v>
      </c>
      <c r="P242" s="21">
        <v>7518742</v>
      </c>
      <c r="Q242" s="21"/>
    </row>
    <row r="243" spans="1:17" x14ac:dyDescent="0.3">
      <c r="A243" s="13">
        <v>2025073962</v>
      </c>
      <c r="B243" s="13">
        <v>7589035</v>
      </c>
      <c r="C243" s="13" t="s">
        <v>8</v>
      </c>
      <c r="D243" s="13" t="s">
        <v>20</v>
      </c>
      <c r="E243" s="13">
        <v>52837437</v>
      </c>
      <c r="F243" s="13">
        <v>26730</v>
      </c>
      <c r="G243" s="13" t="s">
        <v>10</v>
      </c>
      <c r="H243" s="13">
        <v>728</v>
      </c>
      <c r="I243" s="14">
        <v>2331326</v>
      </c>
      <c r="J243" s="21"/>
      <c r="K243" s="21"/>
      <c r="L243" s="21"/>
      <c r="M243" s="21" t="e">
        <f>VLOOKUP(B:B,#REF!,1,0)</f>
        <v>#REF!</v>
      </c>
      <c r="N243" s="21">
        <v>7589035</v>
      </c>
      <c r="O243" s="21">
        <v>7589035</v>
      </c>
      <c r="P243" s="21">
        <v>7589035</v>
      </c>
      <c r="Q243" s="21"/>
    </row>
    <row r="244" spans="1:17" x14ac:dyDescent="0.3">
      <c r="A244" s="13">
        <v>2025073871</v>
      </c>
      <c r="B244" s="13">
        <v>7280521</v>
      </c>
      <c r="C244" s="13" t="s">
        <v>8</v>
      </c>
      <c r="D244" s="13" t="s">
        <v>15</v>
      </c>
      <c r="E244" s="13">
        <v>1012434013</v>
      </c>
      <c r="F244" s="13">
        <v>26735</v>
      </c>
      <c r="G244" s="13" t="s">
        <v>10</v>
      </c>
      <c r="H244" s="13">
        <v>13130</v>
      </c>
      <c r="I244" s="14">
        <v>2330900</v>
      </c>
      <c r="J244" s="21"/>
      <c r="K244" s="21"/>
      <c r="L244" s="21"/>
      <c r="M244" s="21" t="e">
        <f>VLOOKUP(B:B,#REF!,1,0)</f>
        <v>#REF!</v>
      </c>
      <c r="N244" s="21">
        <v>7280521</v>
      </c>
      <c r="O244" s="21">
        <v>7280521</v>
      </c>
      <c r="P244" s="21">
        <v>7280521</v>
      </c>
      <c r="Q244" s="21"/>
    </row>
    <row r="245" spans="1:17" x14ac:dyDescent="0.3">
      <c r="A245" s="13">
        <v>2025075493</v>
      </c>
      <c r="B245" s="13">
        <v>7500155</v>
      </c>
      <c r="C245" s="13" t="s">
        <v>8</v>
      </c>
      <c r="D245" s="13" t="s">
        <v>25</v>
      </c>
      <c r="E245" s="13">
        <v>1002525594</v>
      </c>
      <c r="F245" s="13">
        <v>26731</v>
      </c>
      <c r="G245" s="13" t="s">
        <v>10</v>
      </c>
      <c r="H245" s="13">
        <v>1912</v>
      </c>
      <c r="I245" s="14">
        <v>2325214</v>
      </c>
      <c r="J245" s="21"/>
      <c r="K245" s="21"/>
      <c r="L245" s="21"/>
      <c r="M245" s="21" t="e">
        <f>VLOOKUP(B:B,#REF!,1,0)</f>
        <v>#REF!</v>
      </c>
      <c r="N245" s="21">
        <v>7500155</v>
      </c>
      <c r="O245" s="21">
        <v>7500155</v>
      </c>
      <c r="P245" s="21">
        <v>7500155</v>
      </c>
      <c r="Q245" s="21"/>
    </row>
    <row r="246" spans="1:17" x14ac:dyDescent="0.3">
      <c r="A246" s="13">
        <v>2025078480</v>
      </c>
      <c r="B246" s="13">
        <v>10925952</v>
      </c>
      <c r="C246" s="13" t="s">
        <v>8</v>
      </c>
      <c r="D246" s="13" t="s">
        <v>23</v>
      </c>
      <c r="E246" s="13">
        <v>1015449218</v>
      </c>
      <c r="F246" s="13">
        <v>24438</v>
      </c>
      <c r="G246" s="13" t="s">
        <v>10</v>
      </c>
      <c r="H246" s="13">
        <v>13497</v>
      </c>
      <c r="I246" s="14">
        <v>2314400</v>
      </c>
      <c r="J246" s="21"/>
      <c r="K246" s="21"/>
      <c r="L246" s="21"/>
      <c r="M246" s="21" t="e">
        <f>VLOOKUP(B:B,#REF!,1,0)</f>
        <v>#REF!</v>
      </c>
      <c r="N246" s="21">
        <v>10925952</v>
      </c>
      <c r="O246" s="21">
        <v>10925952</v>
      </c>
      <c r="P246" s="21">
        <v>10925952</v>
      </c>
      <c r="Q246" s="21"/>
    </row>
    <row r="247" spans="1:17" x14ac:dyDescent="0.3">
      <c r="A247" s="13">
        <v>2025079472</v>
      </c>
      <c r="B247" s="13">
        <v>10279833</v>
      </c>
      <c r="C247" s="13" t="s">
        <v>8</v>
      </c>
      <c r="D247" s="13" t="s">
        <v>13</v>
      </c>
      <c r="E247" s="13">
        <v>52756032</v>
      </c>
      <c r="F247" s="13">
        <v>26668</v>
      </c>
      <c r="G247" s="13" t="s">
        <v>10</v>
      </c>
      <c r="H247" s="13">
        <v>14023</v>
      </c>
      <c r="I247" s="14">
        <v>2280000</v>
      </c>
      <c r="J247" s="21"/>
      <c r="K247" s="21"/>
      <c r="L247" s="21"/>
      <c r="M247" s="21" t="e">
        <f>VLOOKUP(B:B,#REF!,1,0)</f>
        <v>#REF!</v>
      </c>
      <c r="N247" s="21">
        <v>10279833</v>
      </c>
      <c r="O247" s="21">
        <v>10279833</v>
      </c>
      <c r="P247" s="21">
        <v>10279833</v>
      </c>
      <c r="Q247" s="21"/>
    </row>
    <row r="248" spans="1:17" x14ac:dyDescent="0.3">
      <c r="A248" s="13">
        <v>2025072361</v>
      </c>
      <c r="B248" s="13">
        <v>10499616</v>
      </c>
      <c r="C248" s="13" t="s">
        <v>8</v>
      </c>
      <c r="D248" s="13" t="s">
        <v>21</v>
      </c>
      <c r="E248" s="13">
        <v>1000727404</v>
      </c>
      <c r="F248" s="13">
        <v>24436</v>
      </c>
      <c r="G248" s="13" t="s">
        <v>10</v>
      </c>
      <c r="H248" s="13">
        <v>10339</v>
      </c>
      <c r="I248" s="14">
        <v>2253266</v>
      </c>
      <c r="J248" s="21"/>
      <c r="K248" s="21"/>
      <c r="L248" s="21"/>
      <c r="M248" s="21" t="e">
        <f>VLOOKUP(B:B,#REF!,1,0)</f>
        <v>#REF!</v>
      </c>
      <c r="N248" s="21">
        <v>10499616</v>
      </c>
      <c r="O248" s="21">
        <v>10499616</v>
      </c>
      <c r="P248" s="21">
        <v>10499616</v>
      </c>
      <c r="Q248" s="21"/>
    </row>
    <row r="249" spans="1:17" x14ac:dyDescent="0.3">
      <c r="A249" s="13">
        <v>2025074043</v>
      </c>
      <c r="B249" s="13">
        <v>10757159</v>
      </c>
      <c r="C249" s="13" t="s">
        <v>28</v>
      </c>
      <c r="D249" s="13" t="s">
        <v>30</v>
      </c>
      <c r="E249" s="13">
        <v>1000620841</v>
      </c>
      <c r="F249" s="13">
        <v>27167</v>
      </c>
      <c r="G249" s="13" t="s">
        <v>10</v>
      </c>
      <c r="H249" s="13">
        <v>728</v>
      </c>
      <c r="I249" s="14">
        <v>2250000</v>
      </c>
      <c r="J249" s="21"/>
      <c r="K249" s="21"/>
      <c r="L249" s="21"/>
      <c r="M249" s="21" t="e">
        <f>VLOOKUP(B:B,#REF!,1,0)</f>
        <v>#REF!</v>
      </c>
      <c r="N249" s="21" t="e">
        <v>#N/A</v>
      </c>
      <c r="O249" s="21">
        <v>10757159</v>
      </c>
      <c r="P249" s="21" t="e">
        <v>#N/A</v>
      </c>
      <c r="Q249" s="21"/>
    </row>
    <row r="250" spans="1:17" x14ac:dyDescent="0.3">
      <c r="A250" s="13">
        <v>2025076846</v>
      </c>
      <c r="B250" s="13">
        <v>10049363</v>
      </c>
      <c r="C250" s="13" t="s">
        <v>8</v>
      </c>
      <c r="D250" s="13" t="s">
        <v>65</v>
      </c>
      <c r="E250" s="13">
        <v>1000338067</v>
      </c>
      <c r="F250" s="13">
        <v>24433</v>
      </c>
      <c r="G250" s="13" t="s">
        <v>10</v>
      </c>
      <c r="H250" s="13">
        <v>11222</v>
      </c>
      <c r="I250" s="14">
        <v>2246600</v>
      </c>
      <c r="J250" s="21"/>
      <c r="K250" s="21"/>
      <c r="L250" s="21"/>
      <c r="M250" s="21" t="e">
        <f>VLOOKUP(B:B,#REF!,1,0)</f>
        <v>#REF!</v>
      </c>
      <c r="N250" s="21">
        <v>10049363</v>
      </c>
      <c r="O250" s="21">
        <v>10049363</v>
      </c>
      <c r="P250" s="21">
        <v>10049363</v>
      </c>
      <c r="Q250" s="21"/>
    </row>
    <row r="251" spans="1:17" x14ac:dyDescent="0.3">
      <c r="A251" s="13">
        <v>2025078525</v>
      </c>
      <c r="B251" s="13">
        <v>10700891</v>
      </c>
      <c r="C251" s="13" t="s">
        <v>8</v>
      </c>
      <c r="D251" s="13" t="s">
        <v>26</v>
      </c>
      <c r="E251" s="13">
        <v>1018439309</v>
      </c>
      <c r="F251" s="13">
        <v>23384</v>
      </c>
      <c r="G251" s="13" t="s">
        <v>10</v>
      </c>
      <c r="H251" s="13">
        <v>13556</v>
      </c>
      <c r="I251" s="14">
        <v>2242426</v>
      </c>
      <c r="J251" s="21"/>
      <c r="K251" s="21"/>
      <c r="L251" s="21"/>
      <c r="M251" s="21" t="e">
        <f>VLOOKUP(B:B,#REF!,1,0)</f>
        <v>#REF!</v>
      </c>
      <c r="N251" s="21">
        <v>10700891</v>
      </c>
      <c r="O251" s="21">
        <v>10700891</v>
      </c>
      <c r="P251" s="21">
        <v>10700891</v>
      </c>
      <c r="Q251" s="21"/>
    </row>
    <row r="252" spans="1:17" x14ac:dyDescent="0.3">
      <c r="A252" s="13">
        <v>2025080893</v>
      </c>
      <c r="B252" s="13">
        <v>7189716</v>
      </c>
      <c r="C252" s="13" t="s">
        <v>8</v>
      </c>
      <c r="D252" s="13" t="s">
        <v>16</v>
      </c>
      <c r="E252" s="13">
        <v>1019115964</v>
      </c>
      <c r="F252" s="13">
        <v>23410</v>
      </c>
      <c r="G252" s="13" t="s">
        <v>10</v>
      </c>
      <c r="H252" s="13">
        <v>655</v>
      </c>
      <c r="I252" s="14">
        <v>2223604</v>
      </c>
      <c r="J252" s="21"/>
      <c r="K252" s="21"/>
      <c r="L252" s="21"/>
      <c r="M252" s="21" t="e">
        <f>VLOOKUP(B:B,#REF!,1,0)</f>
        <v>#REF!</v>
      </c>
      <c r="N252" s="21">
        <v>7189716</v>
      </c>
      <c r="O252" s="21">
        <v>7189716</v>
      </c>
      <c r="P252" s="21">
        <v>7189716</v>
      </c>
      <c r="Q252" s="21"/>
    </row>
    <row r="253" spans="1:17" x14ac:dyDescent="0.3">
      <c r="A253" s="13">
        <v>2025072452</v>
      </c>
      <c r="B253" s="13">
        <v>11502504</v>
      </c>
      <c r="C253" s="13" t="s">
        <v>8</v>
      </c>
      <c r="D253" s="13" t="s">
        <v>24</v>
      </c>
      <c r="E253" s="13">
        <v>1138074284</v>
      </c>
      <c r="F253" s="13">
        <v>27172</v>
      </c>
      <c r="G253" s="13" t="s">
        <v>10</v>
      </c>
      <c r="H253" s="13">
        <v>13757</v>
      </c>
      <c r="I253" s="14">
        <v>2210776</v>
      </c>
      <c r="J253" s="52">
        <v>45922</v>
      </c>
      <c r="K253" s="21" t="s">
        <v>67</v>
      </c>
      <c r="L253" s="21"/>
      <c r="M253" s="21" t="e">
        <f>VLOOKUP(B:B,#REF!,1,0)</f>
        <v>#REF!</v>
      </c>
      <c r="N253" s="21">
        <v>11502504</v>
      </c>
      <c r="O253" s="21">
        <v>11502504</v>
      </c>
      <c r="P253" s="21" t="e">
        <v>#N/A</v>
      </c>
      <c r="Q253" s="21"/>
    </row>
    <row r="254" spans="1:17" x14ac:dyDescent="0.3">
      <c r="A254" s="13">
        <v>2025077780</v>
      </c>
      <c r="B254" s="13">
        <v>10147389</v>
      </c>
      <c r="C254" s="13" t="s">
        <v>8</v>
      </c>
      <c r="D254" s="13" t="s">
        <v>22</v>
      </c>
      <c r="E254" s="13">
        <v>1001116838</v>
      </c>
      <c r="F254" s="13">
        <v>27104</v>
      </c>
      <c r="G254" s="13" t="s">
        <v>10</v>
      </c>
      <c r="H254" s="13">
        <v>483</v>
      </c>
      <c r="I254" s="14">
        <v>2210776</v>
      </c>
      <c r="J254" s="21"/>
      <c r="K254" s="21"/>
      <c r="L254" s="21"/>
      <c r="M254" s="21" t="e">
        <f>VLOOKUP(B:B,#REF!,1,0)</f>
        <v>#REF!</v>
      </c>
      <c r="N254" s="21">
        <v>10147389</v>
      </c>
      <c r="O254" s="21">
        <v>10147389</v>
      </c>
      <c r="P254" s="21">
        <v>10147389</v>
      </c>
      <c r="Q254" s="21"/>
    </row>
    <row r="255" spans="1:17" x14ac:dyDescent="0.3">
      <c r="A255" s="13">
        <v>2025078315</v>
      </c>
      <c r="B255" s="13">
        <v>10122792</v>
      </c>
      <c r="C255" s="13" t="s">
        <v>8</v>
      </c>
      <c r="D255" s="13" t="s">
        <v>18</v>
      </c>
      <c r="E255" s="13">
        <v>1032677388</v>
      </c>
      <c r="F255" s="13">
        <v>26623</v>
      </c>
      <c r="G255" s="13" t="s">
        <v>10</v>
      </c>
      <c r="H255" s="13">
        <v>10632</v>
      </c>
      <c r="I255" s="14">
        <v>2210776</v>
      </c>
      <c r="J255" s="52">
        <v>45922</v>
      </c>
      <c r="K255" s="21" t="s">
        <v>67</v>
      </c>
      <c r="L255" s="21"/>
      <c r="M255" s="21" t="e">
        <f>VLOOKUP(B:B,#REF!,1,0)</f>
        <v>#REF!</v>
      </c>
      <c r="N255" s="21">
        <v>10122792</v>
      </c>
      <c r="O255" s="21">
        <v>10122792</v>
      </c>
      <c r="P255" s="21">
        <v>10122792</v>
      </c>
      <c r="Q255" s="21"/>
    </row>
    <row r="256" spans="1:17" x14ac:dyDescent="0.3">
      <c r="A256" s="13">
        <v>2025072239</v>
      </c>
      <c r="B256" s="13">
        <v>10246375</v>
      </c>
      <c r="C256" s="13" t="s">
        <v>8</v>
      </c>
      <c r="D256" s="13" t="s">
        <v>27</v>
      </c>
      <c r="E256" s="13">
        <v>1000218098</v>
      </c>
      <c r="F256" s="13">
        <v>26786</v>
      </c>
      <c r="G256" s="13" t="s">
        <v>10</v>
      </c>
      <c r="H256" s="13">
        <v>13573</v>
      </c>
      <c r="I256" s="14">
        <v>2210774</v>
      </c>
      <c r="J256" s="21"/>
      <c r="K256" s="21"/>
      <c r="L256" s="21"/>
      <c r="M256" s="21" t="e">
        <f>VLOOKUP(B:B,#REF!,1,0)</f>
        <v>#REF!</v>
      </c>
      <c r="N256" s="21">
        <v>10246375</v>
      </c>
      <c r="O256" s="21">
        <v>10246375</v>
      </c>
      <c r="P256" s="21">
        <v>10246375</v>
      </c>
      <c r="Q256" s="21"/>
    </row>
    <row r="257" spans="1:17" x14ac:dyDescent="0.3">
      <c r="A257" s="13">
        <v>2025075903</v>
      </c>
      <c r="B257" s="13">
        <v>10211821</v>
      </c>
      <c r="C257" s="13" t="s">
        <v>8</v>
      </c>
      <c r="D257" s="13" t="s">
        <v>9</v>
      </c>
      <c r="E257" s="13">
        <v>1001275619</v>
      </c>
      <c r="F257" s="13">
        <v>27063</v>
      </c>
      <c r="G257" s="13" t="s">
        <v>10</v>
      </c>
      <c r="H257" s="13">
        <v>13175</v>
      </c>
      <c r="I257" s="14">
        <v>2210600</v>
      </c>
      <c r="J257" s="21"/>
      <c r="K257" s="21"/>
      <c r="L257" s="21"/>
      <c r="M257" s="21" t="e">
        <f>VLOOKUP(B:B,#REF!,1,0)</f>
        <v>#REF!</v>
      </c>
      <c r="N257" s="21">
        <v>10211821</v>
      </c>
      <c r="O257" s="21">
        <v>10211821</v>
      </c>
      <c r="P257" s="21">
        <v>10211821</v>
      </c>
      <c r="Q257" s="21"/>
    </row>
    <row r="258" spans="1:17" x14ac:dyDescent="0.3">
      <c r="A258" s="13">
        <v>2025079985</v>
      </c>
      <c r="B258" s="13">
        <v>7667279</v>
      </c>
      <c r="C258" s="13" t="s">
        <v>8</v>
      </c>
      <c r="D258" s="13" t="s">
        <v>11</v>
      </c>
      <c r="E258" s="13">
        <v>1016106935</v>
      </c>
      <c r="F258" s="13">
        <v>27064</v>
      </c>
      <c r="G258" s="13" t="s">
        <v>10</v>
      </c>
      <c r="H258" s="13">
        <v>11219</v>
      </c>
      <c r="I258" s="14">
        <v>2210000</v>
      </c>
      <c r="J258" s="21"/>
      <c r="K258" s="21"/>
      <c r="L258" s="21"/>
      <c r="M258" s="21" t="e">
        <f>VLOOKUP(B:B,#REF!,1,0)</f>
        <v>#REF!</v>
      </c>
      <c r="N258" s="21">
        <v>7667279</v>
      </c>
      <c r="O258" s="21">
        <v>7667279</v>
      </c>
      <c r="P258" s="21">
        <v>7667279</v>
      </c>
      <c r="Q258" s="21"/>
    </row>
    <row r="259" spans="1:17" x14ac:dyDescent="0.3">
      <c r="A259" s="13">
        <v>2025077785</v>
      </c>
      <c r="B259" s="13">
        <v>10873708</v>
      </c>
      <c r="C259" s="13" t="s">
        <v>8</v>
      </c>
      <c r="D259" s="13" t="s">
        <v>19</v>
      </c>
      <c r="E259" s="13">
        <v>1024593276</v>
      </c>
      <c r="F259" s="13">
        <v>27068</v>
      </c>
      <c r="G259" s="13" t="s">
        <v>10</v>
      </c>
      <c r="H259" s="13">
        <v>483</v>
      </c>
      <c r="I259" s="14">
        <v>2209200</v>
      </c>
      <c r="J259" s="21"/>
      <c r="K259" s="21"/>
      <c r="L259" s="21"/>
      <c r="M259" s="21" t="e">
        <f>VLOOKUP(B:B,#REF!,1,0)</f>
        <v>#REF!</v>
      </c>
      <c r="N259" s="21">
        <v>10873708</v>
      </c>
      <c r="O259" s="21">
        <v>10873708</v>
      </c>
      <c r="P259" s="21">
        <v>10873708</v>
      </c>
      <c r="Q259" s="21"/>
    </row>
    <row r="260" spans="1:17" x14ac:dyDescent="0.3">
      <c r="A260" s="13">
        <v>2025074277</v>
      </c>
      <c r="B260" s="13">
        <v>10845858</v>
      </c>
      <c r="C260" s="13" t="s">
        <v>8</v>
      </c>
      <c r="D260" s="13" t="s">
        <v>17</v>
      </c>
      <c r="E260" s="13">
        <v>1014284618</v>
      </c>
      <c r="F260" s="13">
        <v>27083</v>
      </c>
      <c r="G260" s="13" t="s">
        <v>10</v>
      </c>
      <c r="H260" s="13">
        <v>14067</v>
      </c>
      <c r="I260" s="14">
        <v>2209200</v>
      </c>
      <c r="J260" s="52">
        <v>45924</v>
      </c>
      <c r="K260" s="21" t="s">
        <v>79</v>
      </c>
      <c r="L260" s="21"/>
      <c r="M260" s="21" t="e">
        <f>VLOOKUP(B:B,#REF!,1,0)</f>
        <v>#REF!</v>
      </c>
      <c r="N260" s="21">
        <v>10845858</v>
      </c>
      <c r="O260" s="21">
        <v>10845858</v>
      </c>
      <c r="P260" s="21" t="e">
        <v>#N/A</v>
      </c>
      <c r="Q260" s="21"/>
    </row>
    <row r="261" spans="1:17" x14ac:dyDescent="0.3">
      <c r="A261" s="13">
        <v>2025077801</v>
      </c>
      <c r="B261" s="13">
        <v>11201153</v>
      </c>
      <c r="C261" s="13" t="s">
        <v>8</v>
      </c>
      <c r="D261" s="13" t="s">
        <v>13</v>
      </c>
      <c r="E261" s="13">
        <v>52756032</v>
      </c>
      <c r="F261" s="13">
        <v>26668</v>
      </c>
      <c r="G261" s="13" t="s">
        <v>10</v>
      </c>
      <c r="H261" s="13">
        <v>483</v>
      </c>
      <c r="I261" s="14">
        <v>2200000</v>
      </c>
      <c r="J261" s="21"/>
      <c r="K261" s="21"/>
      <c r="L261" s="21"/>
      <c r="M261" s="21" t="e">
        <f>VLOOKUP(B:B,#REF!,1,0)</f>
        <v>#REF!</v>
      </c>
      <c r="N261" s="21">
        <v>11201153</v>
      </c>
      <c r="O261" s="21">
        <v>11201153</v>
      </c>
      <c r="P261" s="21">
        <v>11201153</v>
      </c>
      <c r="Q261" s="21"/>
    </row>
    <row r="262" spans="1:17" x14ac:dyDescent="0.3">
      <c r="A262" s="13">
        <v>2025079516</v>
      </c>
      <c r="B262" s="13">
        <v>10343335</v>
      </c>
      <c r="C262" s="13" t="s">
        <v>8</v>
      </c>
      <c r="D262" s="13" t="s">
        <v>25</v>
      </c>
      <c r="E262" s="13">
        <v>1002525594</v>
      </c>
      <c r="F262" s="13">
        <v>26731</v>
      </c>
      <c r="G262" s="13" t="s">
        <v>10</v>
      </c>
      <c r="H262" s="13">
        <v>12607</v>
      </c>
      <c r="I262" s="14">
        <v>2185640</v>
      </c>
      <c r="J262" s="21"/>
      <c r="K262" s="21"/>
      <c r="L262" s="21"/>
      <c r="M262" s="21" t="e">
        <f>VLOOKUP(B:B,#REF!,1,0)</f>
        <v>#REF!</v>
      </c>
      <c r="N262" s="21">
        <v>10343335</v>
      </c>
      <c r="O262" s="21">
        <v>10343335</v>
      </c>
      <c r="P262" s="21">
        <v>10343335</v>
      </c>
      <c r="Q262" s="21"/>
    </row>
    <row r="263" spans="1:17" x14ac:dyDescent="0.3">
      <c r="A263" s="13">
        <v>2025077567</v>
      </c>
      <c r="B263" s="13">
        <v>10300180</v>
      </c>
      <c r="C263" s="13" t="s">
        <v>8</v>
      </c>
      <c r="D263" s="13" t="s">
        <v>20</v>
      </c>
      <c r="E263" s="13">
        <v>52837437</v>
      </c>
      <c r="F263" s="13">
        <v>26730</v>
      </c>
      <c r="G263" s="13" t="s">
        <v>10</v>
      </c>
      <c r="H263" s="13">
        <v>13653</v>
      </c>
      <c r="I263" s="14">
        <v>2185600</v>
      </c>
      <c r="J263" s="21"/>
      <c r="K263" s="21"/>
      <c r="L263" s="21"/>
      <c r="M263" s="21" t="e">
        <f>VLOOKUP(B:B,#REF!,1,0)</f>
        <v>#REF!</v>
      </c>
      <c r="N263" s="21">
        <v>10300180</v>
      </c>
      <c r="O263" s="21">
        <v>10300180</v>
      </c>
      <c r="P263" s="21">
        <v>10300180</v>
      </c>
      <c r="Q263" s="21"/>
    </row>
    <row r="264" spans="1:17" x14ac:dyDescent="0.3">
      <c r="A264" s="13">
        <v>2025073687</v>
      </c>
      <c r="B264" s="13">
        <v>10139744</v>
      </c>
      <c r="C264" s="13" t="s">
        <v>8</v>
      </c>
      <c r="D264" s="13" t="s">
        <v>14</v>
      </c>
      <c r="E264" s="13">
        <v>1033685482</v>
      </c>
      <c r="F264" s="13">
        <v>24441</v>
      </c>
      <c r="G264" s="13" t="s">
        <v>10</v>
      </c>
      <c r="H264" s="13">
        <v>11131</v>
      </c>
      <c r="I264" s="14">
        <v>2184766</v>
      </c>
      <c r="J264" s="21"/>
      <c r="K264" s="21"/>
      <c r="L264" s="21"/>
      <c r="M264" s="21" t="e">
        <f>VLOOKUP(B:B,#REF!,1,0)</f>
        <v>#REF!</v>
      </c>
      <c r="N264" s="21">
        <v>10139744</v>
      </c>
      <c r="O264" s="21">
        <v>10139744</v>
      </c>
      <c r="P264" s="21">
        <v>10139744</v>
      </c>
      <c r="Q264" s="21"/>
    </row>
    <row r="265" spans="1:17" x14ac:dyDescent="0.3">
      <c r="A265" s="13">
        <v>2025078104</v>
      </c>
      <c r="B265" s="13">
        <v>7651509</v>
      </c>
      <c r="C265" s="13" t="s">
        <v>8</v>
      </c>
      <c r="D265" s="13" t="s">
        <v>15</v>
      </c>
      <c r="E265" s="13">
        <v>1012434013</v>
      </c>
      <c r="F265" s="13">
        <v>26735</v>
      </c>
      <c r="G265" s="13" t="s">
        <v>10</v>
      </c>
      <c r="H265" s="13">
        <v>135</v>
      </c>
      <c r="I265" s="14">
        <v>2181101</v>
      </c>
      <c r="J265" s="21"/>
      <c r="K265" s="21"/>
      <c r="L265" s="21"/>
      <c r="M265" s="21" t="e">
        <f>VLOOKUP(B:B,#REF!,1,0)</f>
        <v>#REF!</v>
      </c>
      <c r="N265" s="21" t="e">
        <v>#N/A</v>
      </c>
      <c r="O265" s="21">
        <v>7651509</v>
      </c>
      <c r="P265" s="21">
        <v>7651509</v>
      </c>
      <c r="Q265" s="21"/>
    </row>
    <row r="266" spans="1:17" x14ac:dyDescent="0.3">
      <c r="A266" s="13">
        <v>2025079494</v>
      </c>
      <c r="B266" s="13">
        <v>10114556</v>
      </c>
      <c r="C266" s="13" t="s">
        <v>8</v>
      </c>
      <c r="D266" s="13" t="s">
        <v>23</v>
      </c>
      <c r="E266" s="13">
        <v>1015449218</v>
      </c>
      <c r="F266" s="13">
        <v>24438</v>
      </c>
      <c r="G266" s="13" t="s">
        <v>10</v>
      </c>
      <c r="H266" s="13">
        <v>14010</v>
      </c>
      <c r="I266" s="14">
        <v>2150460</v>
      </c>
      <c r="J266" s="21"/>
      <c r="K266" s="21"/>
      <c r="L266" s="21"/>
      <c r="M266" s="21" t="e">
        <f>VLOOKUP(B:B,#REF!,1,0)</f>
        <v>#REF!</v>
      </c>
      <c r="N266" s="21">
        <v>10114556</v>
      </c>
      <c r="O266" s="21">
        <v>10114556</v>
      </c>
      <c r="P266" s="21">
        <v>10114556</v>
      </c>
      <c r="Q266" s="21"/>
    </row>
    <row r="267" spans="1:17" x14ac:dyDescent="0.3">
      <c r="A267" s="13">
        <v>2025078648</v>
      </c>
      <c r="B267" s="13">
        <v>6906541</v>
      </c>
      <c r="C267" s="13" t="s">
        <v>8</v>
      </c>
      <c r="D267" s="13" t="s">
        <v>21</v>
      </c>
      <c r="E267" s="13">
        <v>1000727404</v>
      </c>
      <c r="F267" s="13">
        <v>24436</v>
      </c>
      <c r="G267" s="13" t="s">
        <v>10</v>
      </c>
      <c r="H267" s="13">
        <v>11121</v>
      </c>
      <c r="I267" s="14">
        <v>2139812</v>
      </c>
      <c r="J267" s="52">
        <v>45922</v>
      </c>
      <c r="K267" s="21" t="s">
        <v>67</v>
      </c>
      <c r="L267" s="21"/>
      <c r="M267" s="21" t="e">
        <f>VLOOKUP(B:B,#REF!,1,0)</f>
        <v>#REF!</v>
      </c>
      <c r="N267" s="21">
        <v>6906541</v>
      </c>
      <c r="O267" s="21">
        <v>6906541</v>
      </c>
      <c r="P267" s="21">
        <v>6906541</v>
      </c>
      <c r="Q267" s="21"/>
    </row>
    <row r="268" spans="1:17" x14ac:dyDescent="0.3">
      <c r="A268" s="13">
        <v>2025077913</v>
      </c>
      <c r="B268" s="13">
        <v>6432795</v>
      </c>
      <c r="C268" s="13" t="s">
        <v>8</v>
      </c>
      <c r="D268" s="13" t="s">
        <v>65</v>
      </c>
      <c r="E268" s="13">
        <v>1000338067</v>
      </c>
      <c r="F268" s="13">
        <v>24433</v>
      </c>
      <c r="G268" s="13" t="s">
        <v>10</v>
      </c>
      <c r="H268" s="13">
        <v>13092</v>
      </c>
      <c r="I268" s="14">
        <v>2131310</v>
      </c>
      <c r="J268" s="52">
        <v>45922</v>
      </c>
      <c r="K268" s="21" t="s">
        <v>67</v>
      </c>
      <c r="L268" s="21"/>
      <c r="M268" s="21" t="e">
        <f>VLOOKUP(B:B,#REF!,1,0)</f>
        <v>#REF!</v>
      </c>
      <c r="N268" s="21">
        <v>6432795</v>
      </c>
      <c r="O268" s="21" t="e">
        <v>#N/A</v>
      </c>
      <c r="P268" s="21" t="e">
        <v>#N/A</v>
      </c>
      <c r="Q268" s="21"/>
    </row>
    <row r="269" spans="1:17" x14ac:dyDescent="0.3">
      <c r="A269" s="13">
        <v>2025076827</v>
      </c>
      <c r="B269" s="13">
        <v>10430775</v>
      </c>
      <c r="C269" s="13" t="s">
        <v>8</v>
      </c>
      <c r="D269" s="13" t="s">
        <v>26</v>
      </c>
      <c r="E269" s="13">
        <v>1018439309</v>
      </c>
      <c r="F269" s="13">
        <v>23384</v>
      </c>
      <c r="G269" s="13" t="s">
        <v>10</v>
      </c>
      <c r="H269" s="13">
        <v>13380</v>
      </c>
      <c r="I269" s="14">
        <v>2130304</v>
      </c>
      <c r="J269" s="21"/>
      <c r="K269" s="21"/>
      <c r="L269" s="21"/>
      <c r="M269" s="21" t="e">
        <f>VLOOKUP(B:B,#REF!,1,0)</f>
        <v>#REF!</v>
      </c>
      <c r="N269" s="21">
        <v>10430775</v>
      </c>
      <c r="O269" s="21">
        <v>10430775</v>
      </c>
      <c r="P269" s="21">
        <v>10430775</v>
      </c>
      <c r="Q269" s="21"/>
    </row>
    <row r="270" spans="1:17" x14ac:dyDescent="0.3">
      <c r="A270" s="13">
        <v>2025077900</v>
      </c>
      <c r="B270" s="13">
        <v>6588122</v>
      </c>
      <c r="C270" s="13" t="s">
        <v>8</v>
      </c>
      <c r="D270" s="13" t="s">
        <v>16</v>
      </c>
      <c r="E270" s="13">
        <v>1019115964</v>
      </c>
      <c r="F270" s="13">
        <v>23410</v>
      </c>
      <c r="G270" s="13" t="s">
        <v>10</v>
      </c>
      <c r="H270" s="13">
        <v>13439</v>
      </c>
      <c r="I270" s="14">
        <v>2119357</v>
      </c>
      <c r="J270" s="21"/>
      <c r="K270" s="21"/>
      <c r="L270" s="21"/>
      <c r="M270" s="21" t="e">
        <f>VLOOKUP(B:B,#REF!,1,0)</f>
        <v>#REF!</v>
      </c>
      <c r="N270" s="21">
        <v>6588122</v>
      </c>
      <c r="O270" s="21">
        <v>6588122</v>
      </c>
      <c r="P270" s="21">
        <v>6588122</v>
      </c>
      <c r="Q270" s="21"/>
    </row>
    <row r="271" spans="1:17" x14ac:dyDescent="0.3">
      <c r="A271" s="13">
        <v>2025074588</v>
      </c>
      <c r="B271" s="13">
        <v>10427530</v>
      </c>
      <c r="C271" s="13" t="s">
        <v>8</v>
      </c>
      <c r="D271" s="13" t="s">
        <v>18</v>
      </c>
      <c r="E271" s="13">
        <v>1032677388</v>
      </c>
      <c r="F271" s="13">
        <v>26623</v>
      </c>
      <c r="G271" s="13" t="s">
        <v>10</v>
      </c>
      <c r="H271" s="13">
        <v>11003</v>
      </c>
      <c r="I271" s="14">
        <v>2107400</v>
      </c>
      <c r="J271" s="21"/>
      <c r="K271" s="21"/>
      <c r="L271" s="21"/>
      <c r="M271" s="21" t="e">
        <f>VLOOKUP(B:B,#REF!,1,0)</f>
        <v>#REF!</v>
      </c>
      <c r="N271" s="21">
        <v>10427530</v>
      </c>
      <c r="O271" s="21">
        <v>10427530</v>
      </c>
      <c r="P271" s="21">
        <v>10427530</v>
      </c>
      <c r="Q271" s="21"/>
    </row>
    <row r="272" spans="1:17" x14ac:dyDescent="0.3">
      <c r="A272" s="13">
        <v>2025072211</v>
      </c>
      <c r="B272" s="13">
        <v>11138355</v>
      </c>
      <c r="C272" s="13" t="s">
        <v>8</v>
      </c>
      <c r="D272" s="13" t="s">
        <v>24</v>
      </c>
      <c r="E272" s="13">
        <v>1138074284</v>
      </c>
      <c r="F272" s="13">
        <v>27172</v>
      </c>
      <c r="G272" s="13" t="s">
        <v>10</v>
      </c>
      <c r="H272" s="13">
        <v>13651</v>
      </c>
      <c r="I272" s="14">
        <v>2104000</v>
      </c>
      <c r="J272" s="21"/>
      <c r="K272" s="21"/>
      <c r="L272" s="21"/>
      <c r="M272" s="21" t="e">
        <f>VLOOKUP(B:B,#REF!,1,0)</f>
        <v>#REF!</v>
      </c>
      <c r="N272" s="21">
        <v>11138355</v>
      </c>
      <c r="O272" s="21">
        <v>11138355</v>
      </c>
      <c r="P272" s="21">
        <v>11138355</v>
      </c>
      <c r="Q272" s="21"/>
    </row>
    <row r="273" spans="1:17" x14ac:dyDescent="0.3">
      <c r="A273" s="13">
        <v>2025073754</v>
      </c>
      <c r="B273" s="13">
        <v>11073009</v>
      </c>
      <c r="C273" s="13" t="s">
        <v>8</v>
      </c>
      <c r="D273" s="13" t="s">
        <v>22</v>
      </c>
      <c r="E273" s="13">
        <v>1001116838</v>
      </c>
      <c r="F273" s="13">
        <v>27104</v>
      </c>
      <c r="G273" s="13" t="s">
        <v>10</v>
      </c>
      <c r="H273" s="13">
        <v>13677</v>
      </c>
      <c r="I273" s="14">
        <v>2104000</v>
      </c>
      <c r="J273" s="52">
        <v>45922</v>
      </c>
      <c r="K273" s="21" t="s">
        <v>67</v>
      </c>
      <c r="L273" s="21"/>
      <c r="M273" s="21" t="e">
        <f>VLOOKUP(B:B,#REF!,1,0)</f>
        <v>#REF!</v>
      </c>
      <c r="N273" s="21">
        <v>11073009</v>
      </c>
      <c r="O273" s="21">
        <v>11073009</v>
      </c>
      <c r="P273" s="21" t="e">
        <v>#N/A</v>
      </c>
      <c r="Q273" s="21"/>
    </row>
    <row r="274" spans="1:17" x14ac:dyDescent="0.3">
      <c r="A274" s="13">
        <v>2025075270</v>
      </c>
      <c r="B274" s="13">
        <v>7758975</v>
      </c>
      <c r="C274" s="13" t="s">
        <v>8</v>
      </c>
      <c r="D274" s="13" t="s">
        <v>9</v>
      </c>
      <c r="E274" s="13">
        <v>1001275619</v>
      </c>
      <c r="F274" s="13">
        <v>27063</v>
      </c>
      <c r="G274" s="13" t="s">
        <v>10</v>
      </c>
      <c r="H274" s="13">
        <v>1479</v>
      </c>
      <c r="I274" s="14">
        <v>2104000</v>
      </c>
      <c r="J274" s="21"/>
      <c r="K274" s="21"/>
      <c r="L274" s="21"/>
      <c r="M274" s="21" t="e">
        <f>VLOOKUP(B:B,#REF!,1,0)</f>
        <v>#REF!</v>
      </c>
      <c r="N274" s="21">
        <v>7758975</v>
      </c>
      <c r="O274" s="21">
        <v>7758975</v>
      </c>
      <c r="P274" s="21">
        <v>7758975</v>
      </c>
      <c r="Q274" s="21"/>
    </row>
    <row r="275" spans="1:17" x14ac:dyDescent="0.3">
      <c r="A275" s="13">
        <v>2025077105</v>
      </c>
      <c r="B275" s="13">
        <v>11107956</v>
      </c>
      <c r="C275" s="13" t="s">
        <v>8</v>
      </c>
      <c r="D275" s="13" t="s">
        <v>19</v>
      </c>
      <c r="E275" s="13">
        <v>1024593276</v>
      </c>
      <c r="F275" s="13">
        <v>27068</v>
      </c>
      <c r="G275" s="13" t="s">
        <v>10</v>
      </c>
      <c r="H275" s="13">
        <v>665</v>
      </c>
      <c r="I275" s="14">
        <v>2104000</v>
      </c>
      <c r="J275" s="52">
        <v>45922</v>
      </c>
      <c r="K275" s="21" t="s">
        <v>67</v>
      </c>
      <c r="L275" s="21"/>
      <c r="M275" s="21" t="e">
        <f>VLOOKUP(B:B,#REF!,1,0)</f>
        <v>#REF!</v>
      </c>
      <c r="N275" s="21">
        <v>11107956</v>
      </c>
      <c r="O275" s="21">
        <v>11107956</v>
      </c>
      <c r="P275" s="21">
        <v>11107956</v>
      </c>
      <c r="Q275" s="21"/>
    </row>
    <row r="276" spans="1:17" x14ac:dyDescent="0.3">
      <c r="A276" s="13">
        <v>2025079459</v>
      </c>
      <c r="B276" s="13">
        <v>11009290</v>
      </c>
      <c r="C276" s="13" t="s">
        <v>8</v>
      </c>
      <c r="D276" s="13" t="s">
        <v>17</v>
      </c>
      <c r="E276" s="13">
        <v>1014284618</v>
      </c>
      <c r="F276" s="13">
        <v>27083</v>
      </c>
      <c r="G276" s="13" t="s">
        <v>10</v>
      </c>
      <c r="H276" s="13">
        <v>1933</v>
      </c>
      <c r="I276" s="14">
        <v>2104000</v>
      </c>
      <c r="J276" s="21"/>
      <c r="K276" s="21"/>
      <c r="L276" s="21"/>
      <c r="M276" s="21" t="e">
        <f>VLOOKUP(B:B,#REF!,1,0)</f>
        <v>#REF!</v>
      </c>
      <c r="N276" s="21">
        <v>11009290</v>
      </c>
      <c r="O276" s="21">
        <v>11009290</v>
      </c>
      <c r="P276" s="21">
        <v>11009290</v>
      </c>
      <c r="Q276" s="21"/>
    </row>
    <row r="277" spans="1:17" x14ac:dyDescent="0.3">
      <c r="A277" s="13">
        <v>2025077982</v>
      </c>
      <c r="B277" s="13">
        <v>11125584</v>
      </c>
      <c r="C277" s="13" t="s">
        <v>8</v>
      </c>
      <c r="D277" s="13" t="s">
        <v>11</v>
      </c>
      <c r="E277" s="13">
        <v>1016106935</v>
      </c>
      <c r="F277" s="13">
        <v>27064</v>
      </c>
      <c r="G277" s="13" t="s">
        <v>10</v>
      </c>
      <c r="H277" s="13">
        <v>483</v>
      </c>
      <c r="I277" s="14">
        <v>2104000</v>
      </c>
      <c r="J277" s="21"/>
      <c r="K277" s="21"/>
      <c r="L277" s="21"/>
      <c r="M277" s="21" t="e">
        <f>VLOOKUP(B:B,#REF!,1,0)</f>
        <v>#REF!</v>
      </c>
      <c r="N277" s="21">
        <v>11125584</v>
      </c>
      <c r="O277" s="21">
        <v>11125584</v>
      </c>
      <c r="P277" s="21">
        <v>11125584</v>
      </c>
      <c r="Q277" s="21"/>
    </row>
    <row r="278" spans="1:17" x14ac:dyDescent="0.3">
      <c r="A278" s="13">
        <v>2025080916</v>
      </c>
      <c r="B278" s="13">
        <v>7820577</v>
      </c>
      <c r="C278" s="13" t="s">
        <v>8</v>
      </c>
      <c r="D278" s="13" t="s">
        <v>27</v>
      </c>
      <c r="E278" s="13">
        <v>1000218098</v>
      </c>
      <c r="F278" s="13">
        <v>26786</v>
      </c>
      <c r="G278" s="13" t="s">
        <v>10</v>
      </c>
      <c r="H278" s="13">
        <v>655</v>
      </c>
      <c r="I278" s="14">
        <v>2104000</v>
      </c>
      <c r="J278" s="21"/>
      <c r="K278" s="21"/>
      <c r="L278" s="21"/>
      <c r="M278" s="21" t="e">
        <f>VLOOKUP(B:B,#REF!,1,0)</f>
        <v>#REF!</v>
      </c>
      <c r="N278" s="21">
        <v>7820577</v>
      </c>
      <c r="O278" s="21">
        <v>7820577</v>
      </c>
      <c r="P278" s="21">
        <v>7820577</v>
      </c>
      <c r="Q278" s="21"/>
    </row>
    <row r="279" spans="1:17" x14ac:dyDescent="0.3">
      <c r="A279" s="13">
        <v>2025075293</v>
      </c>
      <c r="B279" s="13">
        <v>10826574</v>
      </c>
      <c r="C279" s="13" t="s">
        <v>8</v>
      </c>
      <c r="D279" s="13" t="s">
        <v>23</v>
      </c>
      <c r="E279" s="13">
        <v>1015449218</v>
      </c>
      <c r="F279" s="13">
        <v>24438</v>
      </c>
      <c r="G279" s="13" t="s">
        <v>10</v>
      </c>
      <c r="H279" s="13">
        <v>956</v>
      </c>
      <c r="I279" s="14">
        <v>2089272</v>
      </c>
      <c r="J279" s="52">
        <v>45922</v>
      </c>
      <c r="K279" s="21" t="s">
        <v>67</v>
      </c>
      <c r="L279" s="21"/>
      <c r="M279" s="21" t="e">
        <f>VLOOKUP(B:B,#REF!,1,0)</f>
        <v>#REF!</v>
      </c>
      <c r="N279" s="21">
        <v>10826574</v>
      </c>
      <c r="O279" s="21">
        <v>10826574</v>
      </c>
      <c r="P279" s="21">
        <v>10826574</v>
      </c>
      <c r="Q279" s="21"/>
    </row>
    <row r="280" spans="1:17" x14ac:dyDescent="0.3">
      <c r="A280" s="13">
        <v>2025073379</v>
      </c>
      <c r="B280" s="13">
        <v>7245737</v>
      </c>
      <c r="C280" s="13" t="s">
        <v>76</v>
      </c>
      <c r="D280" s="13" t="s">
        <v>35</v>
      </c>
      <c r="E280" s="13">
        <v>1001216235</v>
      </c>
      <c r="F280" s="13">
        <v>25962</v>
      </c>
      <c r="G280" s="13" t="s">
        <v>10</v>
      </c>
      <c r="H280" s="13">
        <v>13147</v>
      </c>
      <c r="I280" s="14">
        <v>2089034</v>
      </c>
      <c r="J280" s="21"/>
      <c r="K280" s="21"/>
      <c r="L280" s="21"/>
      <c r="M280" s="21" t="e">
        <f>VLOOKUP(B:B,#REF!,1,0)</f>
        <v>#REF!</v>
      </c>
      <c r="N280" s="21">
        <v>7245737</v>
      </c>
      <c r="O280" s="21" t="e">
        <v>#N/A</v>
      </c>
      <c r="P280" s="21">
        <v>7245737</v>
      </c>
      <c r="Q280" s="21"/>
    </row>
    <row r="281" spans="1:17" x14ac:dyDescent="0.3">
      <c r="A281" s="13">
        <v>2025076861</v>
      </c>
      <c r="B281" s="13">
        <v>10879157</v>
      </c>
      <c r="C281" s="13" t="s">
        <v>8</v>
      </c>
      <c r="D281" s="13" t="s">
        <v>15</v>
      </c>
      <c r="E281" s="13">
        <v>1012434013</v>
      </c>
      <c r="F281" s="13">
        <v>26735</v>
      </c>
      <c r="G281" s="13" t="s">
        <v>10</v>
      </c>
      <c r="H281" s="13">
        <v>12080</v>
      </c>
      <c r="I281" s="14">
        <v>2079016</v>
      </c>
      <c r="J281" s="21"/>
      <c r="K281" s="21"/>
      <c r="L281" s="21"/>
      <c r="M281" s="21" t="e">
        <f>VLOOKUP(B:B,#REF!,1,0)</f>
        <v>#REF!</v>
      </c>
      <c r="N281" s="21">
        <v>10879157</v>
      </c>
      <c r="O281" s="21">
        <v>10879157</v>
      </c>
      <c r="P281" s="21">
        <v>10879157</v>
      </c>
      <c r="Q281" s="21"/>
    </row>
    <row r="282" spans="1:17" x14ac:dyDescent="0.3">
      <c r="A282" s="13">
        <v>2025079071</v>
      </c>
      <c r="B282" s="13">
        <v>6118822</v>
      </c>
      <c r="C282" s="13" t="s">
        <v>8</v>
      </c>
      <c r="D282" s="13" t="s">
        <v>25</v>
      </c>
      <c r="E282" s="13">
        <v>1002525594</v>
      </c>
      <c r="F282" s="13">
        <v>26731</v>
      </c>
      <c r="G282" s="13" t="s">
        <v>10</v>
      </c>
      <c r="H282" s="13">
        <v>11531</v>
      </c>
      <c r="I282" s="14">
        <v>2076900</v>
      </c>
      <c r="J282" s="52">
        <v>45924</v>
      </c>
      <c r="K282" s="21" t="s">
        <v>87</v>
      </c>
      <c r="L282" s="21"/>
      <c r="M282" s="21" t="e">
        <f>VLOOKUP(B:B,#REF!,1,0)</f>
        <v>#REF!</v>
      </c>
      <c r="N282" s="21">
        <v>6118822</v>
      </c>
      <c r="O282" s="21" t="e">
        <v>#N/A</v>
      </c>
      <c r="P282" s="21" t="e">
        <v>#N/A</v>
      </c>
      <c r="Q282" s="21"/>
    </row>
    <row r="283" spans="1:17" x14ac:dyDescent="0.3">
      <c r="A283" s="13">
        <v>2025075155</v>
      </c>
      <c r="B283" s="13">
        <v>7180937</v>
      </c>
      <c r="C283" s="13" t="s">
        <v>8</v>
      </c>
      <c r="D283" s="13" t="s">
        <v>20</v>
      </c>
      <c r="E283" s="13">
        <v>52837437</v>
      </c>
      <c r="F283" s="13">
        <v>26730</v>
      </c>
      <c r="G283" s="13" t="s">
        <v>10</v>
      </c>
      <c r="H283" s="13">
        <v>12621</v>
      </c>
      <c r="I283" s="14">
        <v>2071417</v>
      </c>
      <c r="J283" s="21"/>
      <c r="K283" s="21"/>
      <c r="L283" s="21"/>
      <c r="M283" s="21" t="e">
        <f>VLOOKUP(B:B,#REF!,1,0)</f>
        <v>#REF!</v>
      </c>
      <c r="N283" s="21">
        <v>7180937</v>
      </c>
      <c r="O283" s="21">
        <v>7180937</v>
      </c>
      <c r="P283" s="21">
        <v>7180937</v>
      </c>
      <c r="Q283" s="21"/>
    </row>
    <row r="284" spans="1:17" x14ac:dyDescent="0.3">
      <c r="A284" s="13">
        <v>2025073141</v>
      </c>
      <c r="B284" s="13">
        <v>7679961</v>
      </c>
      <c r="C284" s="13" t="s">
        <v>8</v>
      </c>
      <c r="D284" s="13" t="s">
        <v>14</v>
      </c>
      <c r="E284" s="13">
        <v>1033685482</v>
      </c>
      <c r="F284" s="13">
        <v>24441</v>
      </c>
      <c r="G284" s="13" t="s">
        <v>10</v>
      </c>
      <c r="H284" s="13">
        <v>13142</v>
      </c>
      <c r="I284" s="14">
        <v>2069326</v>
      </c>
      <c r="J284" s="21"/>
      <c r="K284" s="21"/>
      <c r="L284" s="21"/>
      <c r="M284" s="21" t="e">
        <f>VLOOKUP(B:B,#REF!,1,0)</f>
        <v>#REF!</v>
      </c>
      <c r="N284" s="21">
        <v>7679961</v>
      </c>
      <c r="O284" s="21">
        <v>7679961</v>
      </c>
      <c r="P284" s="21">
        <v>7679961</v>
      </c>
      <c r="Q284" s="21"/>
    </row>
    <row r="285" spans="1:17" x14ac:dyDescent="0.3">
      <c r="A285" s="13">
        <v>2025077489</v>
      </c>
      <c r="B285" s="13">
        <v>10053999</v>
      </c>
      <c r="C285" s="13" t="s">
        <v>8</v>
      </c>
      <c r="D285" s="13" t="s">
        <v>13</v>
      </c>
      <c r="E285" s="13">
        <v>52756032</v>
      </c>
      <c r="F285" s="13">
        <v>26668</v>
      </c>
      <c r="G285" s="13" t="s">
        <v>10</v>
      </c>
      <c r="H285" s="13">
        <v>1050</v>
      </c>
      <c r="I285" s="14">
        <v>2054300</v>
      </c>
      <c r="J285" s="21"/>
      <c r="K285" s="21"/>
      <c r="L285" s="21"/>
      <c r="M285" s="21" t="e">
        <f>VLOOKUP(B:B,#REF!,1,0)</f>
        <v>#REF!</v>
      </c>
      <c r="N285" s="21">
        <v>10053999</v>
      </c>
      <c r="O285" s="21">
        <v>10053999</v>
      </c>
      <c r="P285" s="21">
        <v>10053999</v>
      </c>
      <c r="Q285" s="21"/>
    </row>
    <row r="286" spans="1:17" x14ac:dyDescent="0.3">
      <c r="A286" s="13">
        <v>2025071977</v>
      </c>
      <c r="B286" s="13">
        <v>7076116</v>
      </c>
      <c r="C286" s="13" t="s">
        <v>28</v>
      </c>
      <c r="D286" s="13" t="s">
        <v>34</v>
      </c>
      <c r="E286" s="13">
        <v>1014190282</v>
      </c>
      <c r="F286" s="13">
        <v>27166</v>
      </c>
      <c r="G286" s="13" t="s">
        <v>10</v>
      </c>
      <c r="H286" s="13">
        <v>14156</v>
      </c>
      <c r="I286" s="14">
        <v>2000000</v>
      </c>
      <c r="J286" s="21"/>
      <c r="K286" s="21"/>
      <c r="L286" s="21"/>
      <c r="M286" s="21" t="e">
        <f>VLOOKUP(B:B,#REF!,1,0)</f>
        <v>#REF!</v>
      </c>
      <c r="N286" s="21">
        <v>7076116</v>
      </c>
      <c r="O286" s="21" t="e">
        <v>#N/A</v>
      </c>
      <c r="P286" s="21">
        <v>7076116</v>
      </c>
      <c r="Q286" s="21"/>
    </row>
    <row r="287" spans="1:17" x14ac:dyDescent="0.3">
      <c r="A287" s="13">
        <v>2025077891</v>
      </c>
      <c r="B287" s="13">
        <v>11621463</v>
      </c>
      <c r="C287" s="13" t="s">
        <v>8</v>
      </c>
      <c r="D287" s="13" t="s">
        <v>21</v>
      </c>
      <c r="E287" s="13">
        <v>1000727404</v>
      </c>
      <c r="F287" s="13">
        <v>24436</v>
      </c>
      <c r="G287" s="13" t="s">
        <v>10</v>
      </c>
      <c r="H287" s="13">
        <v>902</v>
      </c>
      <c r="I287" s="14">
        <v>2000000</v>
      </c>
      <c r="J287" s="21"/>
      <c r="K287" s="21"/>
      <c r="L287" s="21"/>
      <c r="M287" s="21" t="e">
        <f>VLOOKUP(B:B,#REF!,1,0)</f>
        <v>#REF!</v>
      </c>
      <c r="N287" s="21">
        <v>11621463</v>
      </c>
      <c r="O287" s="21">
        <v>11621463</v>
      </c>
      <c r="P287" s="21">
        <v>11621463</v>
      </c>
      <c r="Q287" s="21"/>
    </row>
    <row r="288" spans="1:17" x14ac:dyDescent="0.3">
      <c r="A288" s="13">
        <v>2025072021</v>
      </c>
      <c r="B288" s="13">
        <v>11075401</v>
      </c>
      <c r="C288" s="13" t="s">
        <v>28</v>
      </c>
      <c r="D288" s="13" t="s">
        <v>35</v>
      </c>
      <c r="E288" s="13">
        <v>1001216235</v>
      </c>
      <c r="F288" s="13">
        <v>25962</v>
      </c>
      <c r="G288" s="13" t="s">
        <v>10</v>
      </c>
      <c r="H288" s="13">
        <v>483</v>
      </c>
      <c r="I288" s="14">
        <v>2000000</v>
      </c>
      <c r="J288" s="21"/>
      <c r="K288" s="21"/>
      <c r="L288" s="21"/>
      <c r="M288" s="21" t="e">
        <f>VLOOKUP(B:B,#REF!,1,0)</f>
        <v>#REF!</v>
      </c>
      <c r="N288" s="21">
        <v>11075401</v>
      </c>
      <c r="O288" s="21" t="e">
        <v>#N/A</v>
      </c>
      <c r="P288" s="21">
        <v>11075401</v>
      </c>
      <c r="Q288" s="21"/>
    </row>
    <row r="289" spans="1:17" x14ac:dyDescent="0.3">
      <c r="A289" s="13">
        <v>2025073281</v>
      </c>
      <c r="B289" s="13">
        <v>10846884</v>
      </c>
      <c r="C289" s="13" t="s">
        <v>28</v>
      </c>
      <c r="D289" s="13" t="s">
        <v>29</v>
      </c>
      <c r="E289" s="13">
        <v>1033684323</v>
      </c>
      <c r="F289" s="13">
        <v>24744</v>
      </c>
      <c r="G289" s="13" t="s">
        <v>10</v>
      </c>
      <c r="H289" s="13">
        <v>483</v>
      </c>
      <c r="I289" s="14">
        <v>2000000</v>
      </c>
      <c r="J289" s="21"/>
      <c r="K289" s="21"/>
      <c r="L289" s="21"/>
      <c r="M289" s="21" t="e">
        <f>VLOOKUP(B:B,#REF!,1,0)</f>
        <v>#REF!</v>
      </c>
      <c r="N289" s="21">
        <v>10846884</v>
      </c>
      <c r="O289" s="21" t="e">
        <v>#N/A</v>
      </c>
      <c r="P289" s="21">
        <v>10846884</v>
      </c>
      <c r="Q289" s="21"/>
    </row>
    <row r="290" spans="1:17" x14ac:dyDescent="0.3">
      <c r="A290" s="13">
        <v>2025073650</v>
      </c>
      <c r="B290" s="13">
        <v>7450496</v>
      </c>
      <c r="C290" s="13" t="s">
        <v>28</v>
      </c>
      <c r="D290" s="13" t="s">
        <v>30</v>
      </c>
      <c r="E290" s="13">
        <v>1000620841</v>
      </c>
      <c r="F290" s="13">
        <v>27167</v>
      </c>
      <c r="G290" s="13" t="s">
        <v>10</v>
      </c>
      <c r="H290" s="13">
        <v>13078</v>
      </c>
      <c r="I290" s="14">
        <v>2000000</v>
      </c>
      <c r="J290" s="21"/>
      <c r="K290" s="21"/>
      <c r="L290" s="21"/>
      <c r="M290" s="21" t="e">
        <f>VLOOKUP(B:B,#REF!,1,0)</f>
        <v>#REF!</v>
      </c>
      <c r="N290" s="21">
        <v>7450496</v>
      </c>
      <c r="O290" s="21" t="e">
        <v>#N/A</v>
      </c>
      <c r="P290" s="21">
        <v>7450496</v>
      </c>
      <c r="Q290" s="21"/>
    </row>
    <row r="291" spans="1:17" x14ac:dyDescent="0.3">
      <c r="A291" s="13">
        <v>2025076183</v>
      </c>
      <c r="B291" s="13">
        <v>5510427</v>
      </c>
      <c r="C291" s="13" t="s">
        <v>8</v>
      </c>
      <c r="D291" s="13" t="s">
        <v>65</v>
      </c>
      <c r="E291" s="13">
        <v>1000338067</v>
      </c>
      <c r="F291" s="13">
        <v>24433</v>
      </c>
      <c r="G291" s="13" t="s">
        <v>10</v>
      </c>
      <c r="H291" s="13">
        <v>10178</v>
      </c>
      <c r="I291" s="14">
        <v>1998852</v>
      </c>
      <c r="J291" s="21"/>
      <c r="K291" s="21"/>
      <c r="L291" s="21"/>
      <c r="M291" s="21" t="e">
        <f>VLOOKUP(B:B,#REF!,1,0)</f>
        <v>#REF!</v>
      </c>
      <c r="N291" s="21">
        <v>5510427</v>
      </c>
      <c r="O291" s="21">
        <v>5510427</v>
      </c>
      <c r="P291" s="21">
        <v>5510427</v>
      </c>
      <c r="Q291" s="21"/>
    </row>
    <row r="292" spans="1:17" x14ac:dyDescent="0.3">
      <c r="A292" s="13">
        <v>2025077881</v>
      </c>
      <c r="B292" s="13">
        <v>10945622</v>
      </c>
      <c r="C292" s="13" t="s">
        <v>8</v>
      </c>
      <c r="D292" s="13" t="s">
        <v>26</v>
      </c>
      <c r="E292" s="13">
        <v>1018439309</v>
      </c>
      <c r="F292" s="13">
        <v>23384</v>
      </c>
      <c r="G292" s="13" t="s">
        <v>10</v>
      </c>
      <c r="H292" s="13">
        <v>483</v>
      </c>
      <c r="I292" s="14">
        <v>1998800</v>
      </c>
      <c r="J292" s="52">
        <v>45922</v>
      </c>
      <c r="K292" s="21" t="s">
        <v>67</v>
      </c>
      <c r="L292" s="21"/>
      <c r="M292" s="21" t="e">
        <f>VLOOKUP(B:B,#REF!,1,0)</f>
        <v>#REF!</v>
      </c>
      <c r="N292" s="21">
        <v>10945622</v>
      </c>
      <c r="O292" s="21" t="e">
        <v>#N/A</v>
      </c>
      <c r="P292" s="21" t="e">
        <v>#N/A</v>
      </c>
      <c r="Q292" s="21"/>
    </row>
    <row r="293" spans="1:17" x14ac:dyDescent="0.3">
      <c r="A293" s="13">
        <v>2025072561</v>
      </c>
      <c r="B293" s="13">
        <v>11635893</v>
      </c>
      <c r="C293" s="13" t="s">
        <v>8</v>
      </c>
      <c r="D293" s="13" t="s">
        <v>16</v>
      </c>
      <c r="E293" s="13">
        <v>1019115964</v>
      </c>
      <c r="F293" s="13">
        <v>23410</v>
      </c>
      <c r="G293" s="13" t="s">
        <v>10</v>
      </c>
      <c r="H293" s="13">
        <v>1930</v>
      </c>
      <c r="I293" s="14">
        <v>1960000</v>
      </c>
      <c r="J293" s="21"/>
      <c r="K293" s="21"/>
      <c r="L293" s="21"/>
      <c r="M293" s="21" t="e">
        <f>VLOOKUP(B:B,#REF!,1,0)</f>
        <v>#REF!</v>
      </c>
      <c r="N293" s="21">
        <v>11635893</v>
      </c>
      <c r="O293" s="21">
        <v>11635893</v>
      </c>
      <c r="P293" s="21">
        <v>11635893</v>
      </c>
      <c r="Q293" s="21"/>
    </row>
    <row r="294" spans="1:17" x14ac:dyDescent="0.3">
      <c r="A294" s="13">
        <v>2025075944</v>
      </c>
      <c r="B294" s="13">
        <v>7703521</v>
      </c>
      <c r="C294" s="13" t="s">
        <v>8</v>
      </c>
      <c r="D294" s="13" t="s">
        <v>18</v>
      </c>
      <c r="E294" s="13">
        <v>1032677388</v>
      </c>
      <c r="F294" s="13">
        <v>26623</v>
      </c>
      <c r="G294" s="13" t="s">
        <v>10</v>
      </c>
      <c r="H294" s="13">
        <v>13175</v>
      </c>
      <c r="I294" s="14">
        <v>1954400</v>
      </c>
      <c r="J294" s="21"/>
      <c r="K294" s="21"/>
      <c r="L294" s="21"/>
      <c r="M294" s="21" t="e">
        <f>VLOOKUP(B:B,#REF!,1,0)</f>
        <v>#REF!</v>
      </c>
      <c r="N294" s="21">
        <v>7703521</v>
      </c>
      <c r="O294" s="21">
        <v>7703521</v>
      </c>
      <c r="P294" s="21">
        <v>7703521</v>
      </c>
      <c r="Q294" s="21"/>
    </row>
    <row r="295" spans="1:17" x14ac:dyDescent="0.3">
      <c r="A295" s="13">
        <v>2025076754</v>
      </c>
      <c r="B295" s="13">
        <v>7564347</v>
      </c>
      <c r="C295" s="13" t="s">
        <v>8</v>
      </c>
      <c r="D295" s="13" t="s">
        <v>22</v>
      </c>
      <c r="E295" s="13">
        <v>1001116838</v>
      </c>
      <c r="F295" s="13">
        <v>27104</v>
      </c>
      <c r="G295" s="13" t="s">
        <v>10</v>
      </c>
      <c r="H295" s="13">
        <v>11193</v>
      </c>
      <c r="I295" s="14">
        <v>1954066</v>
      </c>
      <c r="J295" s="21"/>
      <c r="K295" s="21"/>
      <c r="L295" s="21"/>
      <c r="M295" s="21" t="e">
        <f>VLOOKUP(B:B,#REF!,1,0)</f>
        <v>#REF!</v>
      </c>
      <c r="N295" s="21">
        <v>7564347</v>
      </c>
      <c r="O295" s="21">
        <v>7564347</v>
      </c>
      <c r="P295" s="21">
        <v>7564347</v>
      </c>
      <c r="Q295" s="21"/>
    </row>
    <row r="296" spans="1:17" x14ac:dyDescent="0.3">
      <c r="A296" s="13">
        <v>2025076712</v>
      </c>
      <c r="B296" s="13">
        <v>10329303</v>
      </c>
      <c r="C296" s="13" t="s">
        <v>8</v>
      </c>
      <c r="D296" s="13" t="s">
        <v>27</v>
      </c>
      <c r="E296" s="13">
        <v>1000218098</v>
      </c>
      <c r="F296" s="13">
        <v>26786</v>
      </c>
      <c r="G296" s="13" t="s">
        <v>10</v>
      </c>
      <c r="H296" s="13">
        <v>677</v>
      </c>
      <c r="I296" s="14">
        <v>1954000</v>
      </c>
      <c r="J296" s="52">
        <v>45922</v>
      </c>
      <c r="K296" s="21" t="s">
        <v>67</v>
      </c>
      <c r="L296" s="21"/>
      <c r="M296" s="21" t="e">
        <f>VLOOKUP(B:B,#REF!,1,0)</f>
        <v>#REF!</v>
      </c>
      <c r="N296" s="21">
        <v>10329303</v>
      </c>
      <c r="O296" s="21">
        <v>10329303</v>
      </c>
      <c r="P296" s="21">
        <v>10329303</v>
      </c>
      <c r="Q296" s="21"/>
    </row>
    <row r="297" spans="1:17" x14ac:dyDescent="0.3">
      <c r="A297" s="13">
        <v>2025078948</v>
      </c>
      <c r="B297" s="13">
        <v>10371646</v>
      </c>
      <c r="C297" s="13" t="s">
        <v>8</v>
      </c>
      <c r="D297" s="13" t="s">
        <v>24</v>
      </c>
      <c r="E297" s="13">
        <v>1138074284</v>
      </c>
      <c r="F297" s="13">
        <v>27172</v>
      </c>
      <c r="G297" s="13" t="s">
        <v>10</v>
      </c>
      <c r="H297" s="13">
        <v>11071</v>
      </c>
      <c r="I297" s="14">
        <v>1954000</v>
      </c>
      <c r="J297" s="21"/>
      <c r="K297" s="21"/>
      <c r="L297" s="21"/>
      <c r="M297" s="21" t="e">
        <f>VLOOKUP(B:B,#REF!,1,0)</f>
        <v>#REF!</v>
      </c>
      <c r="N297" s="21">
        <v>10371646</v>
      </c>
      <c r="O297" s="21">
        <v>10371646</v>
      </c>
      <c r="P297" s="21">
        <v>10371646</v>
      </c>
      <c r="Q297" s="21"/>
    </row>
    <row r="298" spans="1:17" x14ac:dyDescent="0.3">
      <c r="A298" s="13">
        <v>2025077926</v>
      </c>
      <c r="B298" s="13">
        <v>6898281</v>
      </c>
      <c r="C298" s="13" t="s">
        <v>8</v>
      </c>
      <c r="D298" s="13" t="s">
        <v>9</v>
      </c>
      <c r="E298" s="13">
        <v>1001275619</v>
      </c>
      <c r="F298" s="13">
        <v>27063</v>
      </c>
      <c r="G298" s="13" t="s">
        <v>10</v>
      </c>
      <c r="H298" s="13">
        <v>483</v>
      </c>
      <c r="I298" s="14">
        <v>1953918</v>
      </c>
      <c r="J298" s="21"/>
      <c r="K298" s="21"/>
      <c r="L298" s="21"/>
      <c r="M298" s="21" t="e">
        <f>VLOOKUP(B:B,#REF!,1,0)</f>
        <v>#REF!</v>
      </c>
      <c r="N298" s="21">
        <v>6898281</v>
      </c>
      <c r="O298" s="21">
        <v>6898281</v>
      </c>
      <c r="P298" s="21">
        <v>6898281</v>
      </c>
      <c r="Q298" s="21"/>
    </row>
    <row r="299" spans="1:17" x14ac:dyDescent="0.3">
      <c r="A299" s="13">
        <v>2025074689</v>
      </c>
      <c r="B299" s="13">
        <v>6768628</v>
      </c>
      <c r="C299" s="13" t="s">
        <v>8</v>
      </c>
      <c r="D299" s="13" t="s">
        <v>19</v>
      </c>
      <c r="E299" s="13">
        <v>1024593276</v>
      </c>
      <c r="F299" s="13">
        <v>27068</v>
      </c>
      <c r="G299" s="13" t="s">
        <v>10</v>
      </c>
      <c r="H299" s="13">
        <v>13078</v>
      </c>
      <c r="I299" s="14">
        <v>1953790</v>
      </c>
      <c r="J299" s="21"/>
      <c r="K299" s="21"/>
      <c r="L299" s="21"/>
      <c r="M299" s="21" t="e">
        <f>VLOOKUP(B:B,#REF!,1,0)</f>
        <v>#REF!</v>
      </c>
      <c r="N299" s="21">
        <v>6768628</v>
      </c>
      <c r="O299" s="21">
        <v>6768628</v>
      </c>
      <c r="P299" s="21">
        <v>6768628</v>
      </c>
      <c r="Q299" s="21"/>
    </row>
    <row r="300" spans="1:17" x14ac:dyDescent="0.3">
      <c r="A300" s="13">
        <v>2025077361</v>
      </c>
      <c r="B300" s="13">
        <v>10196311</v>
      </c>
      <c r="C300" s="13" t="s">
        <v>8</v>
      </c>
      <c r="D300" s="13" t="s">
        <v>11</v>
      </c>
      <c r="E300" s="13">
        <v>1016106935</v>
      </c>
      <c r="F300" s="13">
        <v>27064</v>
      </c>
      <c r="G300" s="13" t="s">
        <v>10</v>
      </c>
      <c r="H300" s="13">
        <v>2209</v>
      </c>
      <c r="I300" s="14">
        <v>1948700</v>
      </c>
      <c r="J300" s="21"/>
      <c r="K300" s="21"/>
      <c r="L300" s="21"/>
      <c r="M300" s="21" t="e">
        <f>VLOOKUP(B:B,#REF!,1,0)</f>
        <v>#REF!</v>
      </c>
      <c r="N300" s="21">
        <v>10196311</v>
      </c>
      <c r="O300" s="21">
        <v>10196311</v>
      </c>
      <c r="P300" s="21">
        <v>10196311</v>
      </c>
      <c r="Q300" s="21"/>
    </row>
    <row r="301" spans="1:17" x14ac:dyDescent="0.3">
      <c r="A301" s="13">
        <v>2025080569</v>
      </c>
      <c r="B301" s="13">
        <v>5153502</v>
      </c>
      <c r="C301" s="13" t="s">
        <v>8</v>
      </c>
      <c r="D301" s="13" t="s">
        <v>17</v>
      </c>
      <c r="E301" s="13">
        <v>1014284618</v>
      </c>
      <c r="F301" s="13">
        <v>27083</v>
      </c>
      <c r="G301" s="13" t="s">
        <v>10</v>
      </c>
      <c r="H301" s="13">
        <v>11517</v>
      </c>
      <c r="I301" s="14">
        <v>1943558</v>
      </c>
      <c r="J301" s="21"/>
      <c r="K301" s="21"/>
      <c r="L301" s="21"/>
      <c r="M301" s="21" t="e">
        <f>VLOOKUP(B:B,#REF!,1,0)</f>
        <v>#REF!</v>
      </c>
      <c r="N301" s="21">
        <v>5153502</v>
      </c>
      <c r="O301" s="21">
        <v>5153502</v>
      </c>
      <c r="P301" s="21">
        <v>5153502</v>
      </c>
      <c r="Q301" s="21"/>
    </row>
    <row r="302" spans="1:17" x14ac:dyDescent="0.3">
      <c r="A302" s="13">
        <v>2025075234</v>
      </c>
      <c r="B302" s="13">
        <v>10497834</v>
      </c>
      <c r="C302" s="13" t="s">
        <v>8</v>
      </c>
      <c r="D302" s="13" t="s">
        <v>21</v>
      </c>
      <c r="E302" s="13">
        <v>1000727404</v>
      </c>
      <c r="F302" s="13">
        <v>24436</v>
      </c>
      <c r="G302" s="13" t="s">
        <v>10</v>
      </c>
      <c r="H302" s="13">
        <v>11003</v>
      </c>
      <c r="I302" s="14">
        <v>1915000</v>
      </c>
      <c r="J302" s="21"/>
      <c r="K302" s="21"/>
      <c r="L302" s="21"/>
      <c r="M302" s="21" t="e">
        <f>VLOOKUP(B:B,#REF!,1,0)</f>
        <v>#REF!</v>
      </c>
      <c r="N302" s="21">
        <v>10497834</v>
      </c>
      <c r="O302" s="21">
        <v>10497834</v>
      </c>
      <c r="P302" s="21">
        <v>10497834</v>
      </c>
      <c r="Q302" s="21"/>
    </row>
    <row r="303" spans="1:17" x14ac:dyDescent="0.3">
      <c r="A303" s="13">
        <v>2025072200</v>
      </c>
      <c r="B303" s="13">
        <v>11497681</v>
      </c>
      <c r="C303" s="13" t="s">
        <v>8</v>
      </c>
      <c r="D303" s="13" t="s">
        <v>13</v>
      </c>
      <c r="E303" s="13">
        <v>52756032</v>
      </c>
      <c r="F303" s="13">
        <v>26668</v>
      </c>
      <c r="G303" s="13" t="s">
        <v>10</v>
      </c>
      <c r="H303" s="13">
        <v>2211</v>
      </c>
      <c r="I303" s="14">
        <v>1900000</v>
      </c>
      <c r="J303" s="21"/>
      <c r="K303" s="21"/>
      <c r="L303" s="21"/>
      <c r="M303" s="21" t="e">
        <f>VLOOKUP(B:B,#REF!,1,0)</f>
        <v>#REF!</v>
      </c>
      <c r="N303" s="21">
        <v>11497681</v>
      </c>
      <c r="O303" s="21">
        <v>11497681</v>
      </c>
      <c r="P303" s="21">
        <v>11497681</v>
      </c>
      <c r="Q303" s="21"/>
    </row>
    <row r="304" spans="1:17" x14ac:dyDescent="0.3">
      <c r="A304" s="13">
        <v>2025077942</v>
      </c>
      <c r="B304" s="13">
        <v>11096453</v>
      </c>
      <c r="C304" s="13" t="s">
        <v>8</v>
      </c>
      <c r="D304" s="13" t="s">
        <v>23</v>
      </c>
      <c r="E304" s="13">
        <v>1015449218</v>
      </c>
      <c r="F304" s="13">
        <v>24438</v>
      </c>
      <c r="G304" s="13" t="s">
        <v>10</v>
      </c>
      <c r="H304" s="13">
        <v>483</v>
      </c>
      <c r="I304" s="14">
        <v>1893600</v>
      </c>
      <c r="J304" s="52">
        <v>45922</v>
      </c>
      <c r="K304" s="21" t="s">
        <v>67</v>
      </c>
      <c r="L304" s="21"/>
      <c r="M304" s="21" t="e">
        <f>VLOOKUP(B:B,#REF!,1,0)</f>
        <v>#REF!</v>
      </c>
      <c r="N304" s="21">
        <v>11096453</v>
      </c>
      <c r="O304" s="21">
        <v>11096453</v>
      </c>
      <c r="P304" s="21">
        <v>11096453</v>
      </c>
      <c r="Q304" s="21"/>
    </row>
    <row r="305" spans="1:17" x14ac:dyDescent="0.3">
      <c r="A305" s="13">
        <v>2025073747</v>
      </c>
      <c r="B305" s="13">
        <v>11351470</v>
      </c>
      <c r="C305" s="13" t="s">
        <v>8</v>
      </c>
      <c r="D305" s="13" t="s">
        <v>14</v>
      </c>
      <c r="E305" s="13">
        <v>1033685482</v>
      </c>
      <c r="F305" s="13">
        <v>24441</v>
      </c>
      <c r="G305" s="13" t="s">
        <v>10</v>
      </c>
      <c r="H305" s="13">
        <v>11403</v>
      </c>
      <c r="I305" s="14">
        <v>1870000</v>
      </c>
      <c r="J305" s="21"/>
      <c r="K305" s="21"/>
      <c r="L305" s="21"/>
      <c r="M305" s="21" t="e">
        <f>VLOOKUP(B:B,#REF!,1,0)</f>
        <v>#REF!</v>
      </c>
      <c r="N305" s="21">
        <v>11351470</v>
      </c>
      <c r="O305" s="21">
        <v>11351470</v>
      </c>
      <c r="P305" s="21">
        <v>11351470</v>
      </c>
      <c r="Q305" s="21"/>
    </row>
    <row r="306" spans="1:17" x14ac:dyDescent="0.3">
      <c r="A306" s="13">
        <v>2025079994</v>
      </c>
      <c r="B306" s="13">
        <v>10730707</v>
      </c>
      <c r="C306" s="13" t="s">
        <v>8</v>
      </c>
      <c r="D306" s="13" t="s">
        <v>20</v>
      </c>
      <c r="E306" s="13">
        <v>52837437</v>
      </c>
      <c r="F306" s="13">
        <v>26730</v>
      </c>
      <c r="G306" s="13" t="s">
        <v>10</v>
      </c>
      <c r="H306" s="13">
        <v>690</v>
      </c>
      <c r="I306" s="14">
        <v>1860000</v>
      </c>
      <c r="J306" s="21"/>
      <c r="K306" s="21"/>
      <c r="L306" s="21"/>
      <c r="M306" s="21" t="e">
        <f>VLOOKUP(B:B,#REF!,1,0)</f>
        <v>#REF!</v>
      </c>
      <c r="N306" s="21">
        <v>10730707</v>
      </c>
      <c r="O306" s="21">
        <v>10730707</v>
      </c>
      <c r="P306" s="21">
        <v>10730707</v>
      </c>
      <c r="Q306" s="21"/>
    </row>
    <row r="307" spans="1:17" x14ac:dyDescent="0.3">
      <c r="A307" s="13">
        <v>2025073104</v>
      </c>
      <c r="B307" s="13">
        <v>7108549</v>
      </c>
      <c r="C307" s="13" t="s">
        <v>8</v>
      </c>
      <c r="D307" s="13" t="s">
        <v>15</v>
      </c>
      <c r="E307" s="13">
        <v>1012434013</v>
      </c>
      <c r="F307" s="13">
        <v>26735</v>
      </c>
      <c r="G307" s="13" t="s">
        <v>10</v>
      </c>
      <c r="H307" s="13">
        <v>11159</v>
      </c>
      <c r="I307" s="14">
        <v>1857600</v>
      </c>
      <c r="J307" s="21"/>
      <c r="K307" s="21"/>
      <c r="L307" s="21"/>
      <c r="M307" s="21" t="e">
        <f>VLOOKUP(B:B,#REF!,1,0)</f>
        <v>#REF!</v>
      </c>
      <c r="N307" s="21">
        <v>7108549</v>
      </c>
      <c r="O307" s="21">
        <v>7108549</v>
      </c>
      <c r="P307" s="21">
        <v>7108549</v>
      </c>
      <c r="Q307" s="21"/>
    </row>
    <row r="308" spans="1:17" x14ac:dyDescent="0.3">
      <c r="A308" s="13">
        <v>2025078502</v>
      </c>
      <c r="B308" s="13">
        <v>7300967</v>
      </c>
      <c r="C308" s="13" t="s">
        <v>8</v>
      </c>
      <c r="D308" s="13" t="s">
        <v>25</v>
      </c>
      <c r="E308" s="13">
        <v>1002525594</v>
      </c>
      <c r="F308" s="13">
        <v>26731</v>
      </c>
      <c r="G308" s="13" t="s">
        <v>10</v>
      </c>
      <c r="H308" s="13">
        <v>13566</v>
      </c>
      <c r="I308" s="14">
        <v>1854000</v>
      </c>
      <c r="J308" s="52">
        <v>45922</v>
      </c>
      <c r="K308" s="21" t="s">
        <v>67</v>
      </c>
      <c r="L308" s="21"/>
      <c r="M308" s="21" t="e">
        <f>VLOOKUP(B:B,#REF!,1,0)</f>
        <v>#REF!</v>
      </c>
      <c r="N308" s="21">
        <v>7300967</v>
      </c>
      <c r="O308" s="21">
        <v>7300967</v>
      </c>
      <c r="P308" s="21" t="e">
        <v>#N/A</v>
      </c>
      <c r="Q308" s="21"/>
    </row>
    <row r="309" spans="1:17" x14ac:dyDescent="0.3">
      <c r="A309" s="13">
        <v>2025076583</v>
      </c>
      <c r="B309" s="13">
        <v>10882532</v>
      </c>
      <c r="C309" s="13" t="s">
        <v>8</v>
      </c>
      <c r="D309" s="13" t="s">
        <v>65</v>
      </c>
      <c r="E309" s="13">
        <v>1000338067</v>
      </c>
      <c r="F309" s="13">
        <v>24433</v>
      </c>
      <c r="G309" s="13" t="s">
        <v>10</v>
      </c>
      <c r="H309" s="13">
        <v>13439</v>
      </c>
      <c r="I309" s="14">
        <v>1841000</v>
      </c>
      <c r="J309" s="52">
        <v>45922</v>
      </c>
      <c r="K309" s="21" t="s">
        <v>67</v>
      </c>
      <c r="L309" s="21"/>
      <c r="M309" s="21" t="e">
        <f>VLOOKUP(B:B,#REF!,1,0)</f>
        <v>#REF!</v>
      </c>
      <c r="N309" s="21">
        <v>10882532</v>
      </c>
      <c r="O309" s="21">
        <v>10882532</v>
      </c>
      <c r="P309" s="21">
        <v>10882532</v>
      </c>
      <c r="Q309" s="21"/>
    </row>
    <row r="310" spans="1:17" x14ac:dyDescent="0.3">
      <c r="A310" s="13">
        <v>2025073438</v>
      </c>
      <c r="B310" s="13">
        <v>11606622</v>
      </c>
      <c r="C310" s="13" t="s">
        <v>8</v>
      </c>
      <c r="D310" s="13" t="s">
        <v>26</v>
      </c>
      <c r="E310" s="13">
        <v>1018439309</v>
      </c>
      <c r="F310" s="13">
        <v>23384</v>
      </c>
      <c r="G310" s="13" t="s">
        <v>10</v>
      </c>
      <c r="H310" s="13">
        <v>12010</v>
      </c>
      <c r="I310" s="14">
        <v>1840000</v>
      </c>
      <c r="J310" s="21"/>
      <c r="K310" s="21"/>
      <c r="L310" s="21"/>
      <c r="M310" s="21" t="e">
        <f>VLOOKUP(B:B,#REF!,1,0)</f>
        <v>#REF!</v>
      </c>
      <c r="N310" s="21">
        <v>11606622</v>
      </c>
      <c r="O310" s="21">
        <v>11606622</v>
      </c>
      <c r="P310" s="21" t="e">
        <v>#N/A</v>
      </c>
      <c r="Q310" s="21"/>
    </row>
    <row r="311" spans="1:17" x14ac:dyDescent="0.3">
      <c r="A311" s="13">
        <v>2025077616</v>
      </c>
      <c r="B311" s="13">
        <v>10948254</v>
      </c>
      <c r="C311" s="13" t="s">
        <v>8</v>
      </c>
      <c r="D311" s="13" t="s">
        <v>16</v>
      </c>
      <c r="E311" s="13">
        <v>1019115964</v>
      </c>
      <c r="F311" s="13">
        <v>23410</v>
      </c>
      <c r="G311" s="13" t="s">
        <v>10</v>
      </c>
      <c r="H311" s="13">
        <v>13093</v>
      </c>
      <c r="I311" s="14">
        <v>1830000</v>
      </c>
      <c r="J311" s="52">
        <v>45922</v>
      </c>
      <c r="K311" s="21" t="s">
        <v>67</v>
      </c>
      <c r="L311" s="21"/>
      <c r="M311" s="21" t="e">
        <f>VLOOKUP(B:B,#REF!,1,0)</f>
        <v>#REF!</v>
      </c>
      <c r="N311" s="21">
        <v>10948254</v>
      </c>
      <c r="O311" s="21">
        <v>10948254</v>
      </c>
      <c r="P311" s="21">
        <v>10948254</v>
      </c>
      <c r="Q311" s="21"/>
    </row>
    <row r="312" spans="1:17" x14ac:dyDescent="0.3">
      <c r="A312" s="13">
        <v>2025075914</v>
      </c>
      <c r="B312" s="13">
        <v>10076281</v>
      </c>
      <c r="C312" s="13" t="s">
        <v>8</v>
      </c>
      <c r="D312" s="13" t="s">
        <v>18</v>
      </c>
      <c r="E312" s="13">
        <v>1032677388</v>
      </c>
      <c r="F312" s="13">
        <v>26623</v>
      </c>
      <c r="G312" s="13" t="s">
        <v>10</v>
      </c>
      <c r="H312" s="13">
        <v>13175</v>
      </c>
      <c r="I312" s="14">
        <v>1820400</v>
      </c>
      <c r="J312" s="21"/>
      <c r="K312" s="21"/>
      <c r="L312" s="21"/>
      <c r="M312" s="21" t="e">
        <f>VLOOKUP(B:B,#REF!,1,0)</f>
        <v>#REF!</v>
      </c>
      <c r="N312" s="21">
        <v>10076281</v>
      </c>
      <c r="O312" s="21">
        <v>10076281</v>
      </c>
      <c r="P312" s="21">
        <v>10076281</v>
      </c>
      <c r="Q312" s="21"/>
    </row>
    <row r="313" spans="1:17" x14ac:dyDescent="0.3">
      <c r="A313" s="13">
        <v>2025079697</v>
      </c>
      <c r="B313" s="13">
        <v>7376142</v>
      </c>
      <c r="C313" s="13" t="s">
        <v>8</v>
      </c>
      <c r="D313" s="13" t="s">
        <v>22</v>
      </c>
      <c r="E313" s="13">
        <v>1001116838</v>
      </c>
      <c r="F313" s="13">
        <v>27104</v>
      </c>
      <c r="G313" s="13" t="s">
        <v>10</v>
      </c>
      <c r="H313" s="13">
        <v>11354</v>
      </c>
      <c r="I313" s="14">
        <v>1810000</v>
      </c>
      <c r="J313" s="21"/>
      <c r="K313" s="21"/>
      <c r="L313" s="21"/>
      <c r="M313" s="21" t="e">
        <f>VLOOKUP(B:B,#REF!,1,0)</f>
        <v>#REF!</v>
      </c>
      <c r="N313" s="21">
        <v>7376142</v>
      </c>
      <c r="O313" s="21">
        <v>7376142</v>
      </c>
      <c r="P313" s="21">
        <v>7376142</v>
      </c>
      <c r="Q313" s="21"/>
    </row>
    <row r="314" spans="1:17" x14ac:dyDescent="0.3">
      <c r="A314" s="13">
        <v>2025077762</v>
      </c>
      <c r="B314" s="13">
        <v>5278792</v>
      </c>
      <c r="C314" s="13" t="s">
        <v>8</v>
      </c>
      <c r="D314" s="13" t="s">
        <v>24</v>
      </c>
      <c r="E314" s="13">
        <v>1138074284</v>
      </c>
      <c r="F314" s="13">
        <v>27172</v>
      </c>
      <c r="G314" s="13" t="s">
        <v>10</v>
      </c>
      <c r="H314" s="13">
        <v>11363</v>
      </c>
      <c r="I314" s="14">
        <v>1804000</v>
      </c>
      <c r="J314" s="21"/>
      <c r="K314" s="21"/>
      <c r="L314" s="21"/>
      <c r="M314" s="21" t="e">
        <f>VLOOKUP(B:B,#REF!,1,0)</f>
        <v>#REF!</v>
      </c>
      <c r="N314" s="21">
        <v>5278792</v>
      </c>
      <c r="O314" s="21">
        <v>5278792</v>
      </c>
      <c r="P314" s="21">
        <v>5278792</v>
      </c>
      <c r="Q314" s="21"/>
    </row>
    <row r="315" spans="1:17" x14ac:dyDescent="0.3">
      <c r="A315" s="13">
        <v>2025072029</v>
      </c>
      <c r="B315" s="13">
        <v>11230771</v>
      </c>
      <c r="C315" s="13" t="s">
        <v>8</v>
      </c>
      <c r="D315" s="13" t="s">
        <v>15</v>
      </c>
      <c r="E315" s="13">
        <v>1012434013</v>
      </c>
      <c r="F315" s="13">
        <v>26735</v>
      </c>
      <c r="G315" s="13" t="s">
        <v>10</v>
      </c>
      <c r="H315" s="13">
        <v>429</v>
      </c>
      <c r="I315" s="14">
        <v>1800000</v>
      </c>
      <c r="J315" s="21"/>
      <c r="K315" s="21"/>
      <c r="L315" s="21"/>
      <c r="M315" s="21" t="e">
        <f>VLOOKUP(B:B,#REF!,1,0)</f>
        <v>#REF!</v>
      </c>
      <c r="N315" s="21">
        <v>11230771</v>
      </c>
      <c r="O315" s="21">
        <v>11230771</v>
      </c>
      <c r="P315" s="21">
        <v>11230771</v>
      </c>
      <c r="Q315" s="21"/>
    </row>
    <row r="316" spans="1:17" x14ac:dyDescent="0.3">
      <c r="A316" s="13">
        <v>2025075438</v>
      </c>
      <c r="B316" s="13">
        <v>11465598</v>
      </c>
      <c r="C316" s="13" t="s">
        <v>8</v>
      </c>
      <c r="D316" s="13" t="s">
        <v>27</v>
      </c>
      <c r="E316" s="13">
        <v>1000218098</v>
      </c>
      <c r="F316" s="13">
        <v>26786</v>
      </c>
      <c r="G316" s="13" t="s">
        <v>10</v>
      </c>
      <c r="H316" s="13">
        <v>10618</v>
      </c>
      <c r="I316" s="14">
        <v>1800000</v>
      </c>
      <c r="J316" s="21"/>
      <c r="K316" s="21"/>
      <c r="L316" s="21"/>
      <c r="M316" s="21" t="e">
        <f>VLOOKUP(B:B,#REF!,1,0)</f>
        <v>#REF!</v>
      </c>
      <c r="N316" s="21">
        <v>11465598</v>
      </c>
      <c r="O316" s="21">
        <v>11465598</v>
      </c>
      <c r="P316" s="21">
        <v>11465598</v>
      </c>
      <c r="Q316" s="21"/>
    </row>
    <row r="317" spans="1:17" x14ac:dyDescent="0.3">
      <c r="A317" s="13">
        <v>2025072923</v>
      </c>
      <c r="B317" s="13">
        <v>7802842</v>
      </c>
      <c r="C317" s="13" t="s">
        <v>8</v>
      </c>
      <c r="D317" s="13" t="s">
        <v>20</v>
      </c>
      <c r="E317" s="13">
        <v>52837437</v>
      </c>
      <c r="F317" s="13">
        <v>26730</v>
      </c>
      <c r="G317" s="13" t="s">
        <v>10</v>
      </c>
      <c r="H317" s="13">
        <v>13592</v>
      </c>
      <c r="I317" s="14">
        <v>1800000</v>
      </c>
      <c r="J317" s="21"/>
      <c r="K317" s="21"/>
      <c r="L317" s="21"/>
      <c r="M317" s="21" t="e">
        <f>VLOOKUP(B:B,#REF!,1,0)</f>
        <v>#REF!</v>
      </c>
      <c r="N317" s="21">
        <v>7802842</v>
      </c>
      <c r="O317" s="21">
        <v>7802842</v>
      </c>
      <c r="P317" s="21">
        <v>7802842</v>
      </c>
      <c r="Q317" s="21"/>
    </row>
    <row r="318" spans="1:17" x14ac:dyDescent="0.3">
      <c r="A318" s="13">
        <v>2025074800</v>
      </c>
      <c r="B318" s="13">
        <v>11533965</v>
      </c>
      <c r="C318" s="13" t="s">
        <v>8</v>
      </c>
      <c r="D318" s="13" t="s">
        <v>19</v>
      </c>
      <c r="E318" s="13">
        <v>1024593276</v>
      </c>
      <c r="F318" s="13">
        <v>27068</v>
      </c>
      <c r="G318" s="13" t="s">
        <v>10</v>
      </c>
      <c r="H318" s="13">
        <v>13621</v>
      </c>
      <c r="I318" s="14">
        <v>1800000</v>
      </c>
      <c r="J318" s="21"/>
      <c r="K318" s="21"/>
      <c r="L318" s="21"/>
      <c r="M318" s="21" t="e">
        <f>VLOOKUP(B:B,#REF!,1,0)</f>
        <v>#REF!</v>
      </c>
      <c r="N318" s="21">
        <v>11533965</v>
      </c>
      <c r="O318" s="21">
        <v>11533965</v>
      </c>
      <c r="P318" s="21">
        <v>11533965</v>
      </c>
      <c r="Q318" s="21"/>
    </row>
    <row r="319" spans="1:17" x14ac:dyDescent="0.3">
      <c r="A319" s="13">
        <v>2025076585</v>
      </c>
      <c r="B319" s="13">
        <v>5979898</v>
      </c>
      <c r="C319" s="13" t="s">
        <v>8</v>
      </c>
      <c r="D319" s="13" t="s">
        <v>17</v>
      </c>
      <c r="E319" s="13">
        <v>1014284618</v>
      </c>
      <c r="F319" s="13">
        <v>27083</v>
      </c>
      <c r="G319" s="13" t="s">
        <v>10</v>
      </c>
      <c r="H319" s="13">
        <v>13110</v>
      </c>
      <c r="I319" s="14">
        <v>1800000</v>
      </c>
      <c r="J319" s="21"/>
      <c r="K319" s="21"/>
      <c r="L319" s="21"/>
      <c r="M319" s="21" t="e">
        <f>VLOOKUP(B:B,#REF!,1,0)</f>
        <v>#REF!</v>
      </c>
      <c r="N319" s="21">
        <v>5979898</v>
      </c>
      <c r="O319" s="21">
        <v>5979898</v>
      </c>
      <c r="P319" s="21">
        <v>5979898</v>
      </c>
      <c r="Q319" s="21"/>
    </row>
    <row r="320" spans="1:17" x14ac:dyDescent="0.3">
      <c r="A320" s="13">
        <v>2025079519</v>
      </c>
      <c r="B320" s="13">
        <v>11286958</v>
      </c>
      <c r="C320" s="13" t="s">
        <v>8</v>
      </c>
      <c r="D320" s="13" t="s">
        <v>11</v>
      </c>
      <c r="E320" s="13">
        <v>1016106935</v>
      </c>
      <c r="F320" s="13">
        <v>27064</v>
      </c>
      <c r="G320" s="13" t="s">
        <v>10</v>
      </c>
      <c r="H320" s="13">
        <v>1933</v>
      </c>
      <c r="I320" s="14">
        <v>1800000</v>
      </c>
      <c r="J320" s="21"/>
      <c r="K320" s="21"/>
      <c r="L320" s="21"/>
      <c r="M320" s="21" t="e">
        <f>VLOOKUP(B:B,#REF!,1,0)</f>
        <v>#REF!</v>
      </c>
      <c r="N320" s="21">
        <v>11286958</v>
      </c>
      <c r="O320" s="21">
        <v>11286958</v>
      </c>
      <c r="P320" s="21">
        <v>11286958</v>
      </c>
      <c r="Q320" s="21"/>
    </row>
    <row r="321" spans="1:17" x14ac:dyDescent="0.3">
      <c r="A321" s="13">
        <v>2025079723</v>
      </c>
      <c r="B321" s="13">
        <v>11518944</v>
      </c>
      <c r="C321" s="13" t="s">
        <v>8</v>
      </c>
      <c r="D321" s="13" t="s">
        <v>25</v>
      </c>
      <c r="E321" s="13">
        <v>1002525594</v>
      </c>
      <c r="F321" s="13">
        <v>26731</v>
      </c>
      <c r="G321" s="13" t="s">
        <v>10</v>
      </c>
      <c r="H321" s="13">
        <v>13746</v>
      </c>
      <c r="I321" s="14">
        <v>1800000</v>
      </c>
      <c r="J321" s="21"/>
      <c r="K321" s="21"/>
      <c r="L321" s="21"/>
      <c r="M321" s="21" t="e">
        <f>VLOOKUP(B:B,#REF!,1,0)</f>
        <v>#REF!</v>
      </c>
      <c r="N321" s="21">
        <v>11518944</v>
      </c>
      <c r="O321" s="21">
        <v>11518944</v>
      </c>
      <c r="P321" s="21">
        <v>11518944</v>
      </c>
      <c r="Q321" s="21"/>
    </row>
    <row r="322" spans="1:17" x14ac:dyDescent="0.3">
      <c r="A322" s="13">
        <v>2025079913</v>
      </c>
      <c r="B322" s="13">
        <v>11256650</v>
      </c>
      <c r="C322" s="13" t="s">
        <v>8</v>
      </c>
      <c r="D322" s="13" t="s">
        <v>9</v>
      </c>
      <c r="E322" s="13">
        <v>1001275619</v>
      </c>
      <c r="F322" s="13">
        <v>27063</v>
      </c>
      <c r="G322" s="13" t="s">
        <v>10</v>
      </c>
      <c r="H322" s="13">
        <v>14169</v>
      </c>
      <c r="I322" s="14">
        <v>1800000</v>
      </c>
      <c r="J322" s="21"/>
      <c r="K322" s="21"/>
      <c r="L322" s="21"/>
      <c r="M322" s="21" t="e">
        <f>VLOOKUP(B:B,#REF!,1,0)</f>
        <v>#REF!</v>
      </c>
      <c r="N322" s="21">
        <v>11256650</v>
      </c>
      <c r="O322" s="21">
        <v>11256650</v>
      </c>
      <c r="P322" s="21">
        <v>11256650</v>
      </c>
      <c r="Q322" s="21"/>
    </row>
    <row r="323" spans="1:17" x14ac:dyDescent="0.3">
      <c r="A323" s="13">
        <v>2025074394</v>
      </c>
      <c r="B323" s="13">
        <v>11146794</v>
      </c>
      <c r="C323" s="13" t="s">
        <v>8</v>
      </c>
      <c r="D323" s="13" t="s">
        <v>14</v>
      </c>
      <c r="E323" s="13">
        <v>1033685482</v>
      </c>
      <c r="F323" s="13">
        <v>24441</v>
      </c>
      <c r="G323" s="13" t="s">
        <v>10</v>
      </c>
      <c r="H323" s="13">
        <v>13473</v>
      </c>
      <c r="I323" s="14">
        <v>1788400</v>
      </c>
      <c r="J323" s="52">
        <v>45922</v>
      </c>
      <c r="K323" s="21" t="s">
        <v>67</v>
      </c>
      <c r="L323" s="21"/>
      <c r="M323" s="21" t="e">
        <f>VLOOKUP(B:B,#REF!,1,0)</f>
        <v>#REF!</v>
      </c>
      <c r="N323" s="21">
        <v>11146794</v>
      </c>
      <c r="O323" s="21">
        <v>11146794</v>
      </c>
      <c r="P323" s="21" t="e">
        <v>#N/A</v>
      </c>
      <c r="Q323" s="21"/>
    </row>
    <row r="324" spans="1:17" x14ac:dyDescent="0.3">
      <c r="A324" s="13">
        <v>2025076931</v>
      </c>
      <c r="B324" s="13">
        <v>10227471</v>
      </c>
      <c r="C324" s="13" t="s">
        <v>28</v>
      </c>
      <c r="D324" s="13" t="s">
        <v>33</v>
      </c>
      <c r="E324" s="13">
        <v>6479682</v>
      </c>
      <c r="F324" s="13">
        <v>27164</v>
      </c>
      <c r="G324" s="13" t="s">
        <v>10</v>
      </c>
      <c r="H324" s="13">
        <v>730</v>
      </c>
      <c r="I324" s="14">
        <v>1777420</v>
      </c>
      <c r="J324" s="21"/>
      <c r="K324" s="21"/>
      <c r="L324" s="21"/>
      <c r="M324" s="21" t="e">
        <f>VLOOKUP(B:B,#REF!,1,0)</f>
        <v>#REF!</v>
      </c>
      <c r="N324" s="21">
        <v>10227471</v>
      </c>
      <c r="O324" s="21" t="e">
        <v>#N/A</v>
      </c>
      <c r="P324" s="21">
        <v>10227471</v>
      </c>
      <c r="Q324" s="21"/>
    </row>
    <row r="325" spans="1:17" x14ac:dyDescent="0.3">
      <c r="A325" s="13">
        <v>2025078468</v>
      </c>
      <c r="B325" s="13">
        <v>11491144</v>
      </c>
      <c r="C325" s="13" t="s">
        <v>76</v>
      </c>
      <c r="D325" s="13" t="s">
        <v>55</v>
      </c>
      <c r="E325" s="13">
        <v>52879254</v>
      </c>
      <c r="F325" s="13">
        <v>27224</v>
      </c>
      <c r="G325" s="13" t="s">
        <v>10</v>
      </c>
      <c r="H325" s="13">
        <v>10618</v>
      </c>
      <c r="I325" s="14">
        <v>1776666</v>
      </c>
      <c r="J325" s="21"/>
      <c r="K325" s="21"/>
      <c r="L325" s="21"/>
      <c r="M325" s="21" t="e">
        <f>VLOOKUP(B:B,#REF!,1,0)</f>
        <v>#REF!</v>
      </c>
      <c r="N325" s="21">
        <v>11491144</v>
      </c>
      <c r="O325" s="21" t="e">
        <v>#N/A</v>
      </c>
      <c r="P325" s="21">
        <v>11491144</v>
      </c>
      <c r="Q325" s="21"/>
    </row>
    <row r="326" spans="1:17" x14ac:dyDescent="0.3">
      <c r="A326" s="13">
        <v>2025076505</v>
      </c>
      <c r="B326" s="13">
        <v>11521129</v>
      </c>
      <c r="C326" s="13" t="s">
        <v>8</v>
      </c>
      <c r="D326" s="13" t="s">
        <v>21</v>
      </c>
      <c r="E326" s="13">
        <v>1000727404</v>
      </c>
      <c r="F326" s="13">
        <v>24436</v>
      </c>
      <c r="G326" s="13" t="s">
        <v>10</v>
      </c>
      <c r="H326" s="13">
        <v>13417</v>
      </c>
      <c r="I326" s="14">
        <v>1760000</v>
      </c>
      <c r="J326" s="21"/>
      <c r="K326" s="21"/>
      <c r="L326" s="21"/>
      <c r="M326" s="21" t="e">
        <f>VLOOKUP(B:B,#REF!,1,0)</f>
        <v>#REF!</v>
      </c>
      <c r="N326" s="21">
        <v>11521129</v>
      </c>
      <c r="O326" s="21">
        <v>11521129</v>
      </c>
      <c r="P326" s="21">
        <v>11521129</v>
      </c>
      <c r="Q326" s="21"/>
    </row>
    <row r="327" spans="1:17" x14ac:dyDescent="0.3">
      <c r="A327" s="13">
        <v>2025077364</v>
      </c>
      <c r="B327" s="13">
        <v>10879287</v>
      </c>
      <c r="C327" s="13" t="s">
        <v>8</v>
      </c>
      <c r="D327" s="13" t="s">
        <v>23</v>
      </c>
      <c r="E327" s="13">
        <v>1015449218</v>
      </c>
      <c r="F327" s="13">
        <v>24438</v>
      </c>
      <c r="G327" s="13" t="s">
        <v>10</v>
      </c>
      <c r="H327" s="13">
        <v>483</v>
      </c>
      <c r="I327" s="14">
        <v>1725280</v>
      </c>
      <c r="J327" s="21"/>
      <c r="K327" s="21"/>
      <c r="L327" s="21"/>
      <c r="M327" s="21" t="e">
        <f>VLOOKUP(B:B,#REF!,1,0)</f>
        <v>#REF!</v>
      </c>
      <c r="N327" s="21">
        <v>10879287</v>
      </c>
      <c r="O327" s="21">
        <v>10879287</v>
      </c>
      <c r="P327" s="21">
        <v>10879287</v>
      </c>
      <c r="Q327" s="21"/>
    </row>
    <row r="328" spans="1:17" x14ac:dyDescent="0.3">
      <c r="A328" s="13">
        <v>2025075742</v>
      </c>
      <c r="B328" s="13">
        <v>10483215</v>
      </c>
      <c r="C328" s="13" t="s">
        <v>8</v>
      </c>
      <c r="D328" s="13" t="s">
        <v>13</v>
      </c>
      <c r="E328" s="13">
        <v>52756032</v>
      </c>
      <c r="F328" s="13">
        <v>26668</v>
      </c>
      <c r="G328" s="13" t="s">
        <v>10</v>
      </c>
      <c r="H328" s="13">
        <v>13452</v>
      </c>
      <c r="I328" s="14">
        <v>1724400</v>
      </c>
      <c r="J328" s="52">
        <v>45922</v>
      </c>
      <c r="K328" s="21" t="s">
        <v>67</v>
      </c>
      <c r="L328" s="21"/>
      <c r="M328" s="21" t="e">
        <f>VLOOKUP(B:B,#REF!,1,0)</f>
        <v>#REF!</v>
      </c>
      <c r="N328" s="21">
        <v>10483215</v>
      </c>
      <c r="O328" s="21" t="e">
        <v>#N/A</v>
      </c>
      <c r="P328" s="21" t="e">
        <v>#N/A</v>
      </c>
      <c r="Q328" s="21"/>
    </row>
    <row r="329" spans="1:17" x14ac:dyDescent="0.3">
      <c r="A329" s="13">
        <v>2025073470</v>
      </c>
      <c r="B329" s="13">
        <v>11324467</v>
      </c>
      <c r="C329" s="13" t="s">
        <v>8</v>
      </c>
      <c r="D329" s="13" t="s">
        <v>16</v>
      </c>
      <c r="E329" s="13">
        <v>1019115964</v>
      </c>
      <c r="F329" s="13">
        <v>23410</v>
      </c>
      <c r="G329" s="13" t="s">
        <v>10</v>
      </c>
      <c r="H329" s="13">
        <v>1122</v>
      </c>
      <c r="I329" s="14">
        <v>1700000</v>
      </c>
      <c r="J329" s="52">
        <v>45922</v>
      </c>
      <c r="K329" s="21" t="s">
        <v>67</v>
      </c>
      <c r="L329" s="21"/>
      <c r="M329" s="21" t="e">
        <f>VLOOKUP(B:B,#REF!,1,0)</f>
        <v>#REF!</v>
      </c>
      <c r="N329" s="21">
        <v>11324467</v>
      </c>
      <c r="O329" s="21">
        <v>11324467</v>
      </c>
      <c r="P329" s="21">
        <v>11324467</v>
      </c>
      <c r="Q329" s="21"/>
    </row>
    <row r="330" spans="1:17" x14ac:dyDescent="0.3">
      <c r="A330" s="13">
        <v>2025074616</v>
      </c>
      <c r="B330" s="13">
        <v>11305234</v>
      </c>
      <c r="C330" s="13" t="s">
        <v>8</v>
      </c>
      <c r="D330" s="13" t="s">
        <v>26</v>
      </c>
      <c r="E330" s="13">
        <v>1018439309</v>
      </c>
      <c r="F330" s="13">
        <v>23384</v>
      </c>
      <c r="G330" s="13" t="s">
        <v>10</v>
      </c>
      <c r="H330" s="13">
        <v>13090</v>
      </c>
      <c r="I330" s="14">
        <v>1700000</v>
      </c>
      <c r="J330" s="21"/>
      <c r="K330" s="21"/>
      <c r="L330" s="21"/>
      <c r="M330" s="21" t="e">
        <f>VLOOKUP(B:B,#REF!,1,0)</f>
        <v>#REF!</v>
      </c>
      <c r="N330" s="21" t="e">
        <v>#N/A</v>
      </c>
      <c r="O330" s="21">
        <v>11305234</v>
      </c>
      <c r="P330" s="21" t="e">
        <v>#N/A</v>
      </c>
      <c r="Q330" s="21"/>
    </row>
    <row r="331" spans="1:17" x14ac:dyDescent="0.3">
      <c r="A331" s="13">
        <v>2025080699</v>
      </c>
      <c r="B331" s="13">
        <v>11336643</v>
      </c>
      <c r="C331" s="13" t="s">
        <v>8</v>
      </c>
      <c r="D331" s="13" t="s">
        <v>65</v>
      </c>
      <c r="E331" s="13">
        <v>1000338067</v>
      </c>
      <c r="F331" s="13">
        <v>24433</v>
      </c>
      <c r="G331" s="13" t="s">
        <v>10</v>
      </c>
      <c r="H331" s="13">
        <v>12556</v>
      </c>
      <c r="I331" s="14">
        <v>1700000</v>
      </c>
      <c r="J331" s="21"/>
      <c r="K331" s="21"/>
      <c r="L331" s="21"/>
      <c r="M331" s="21" t="e">
        <f>VLOOKUP(B:B,#REF!,1,0)</f>
        <v>#REF!</v>
      </c>
      <c r="N331" s="21">
        <v>11336643</v>
      </c>
      <c r="O331" s="21">
        <v>11336643</v>
      </c>
      <c r="P331" s="21">
        <v>11336643</v>
      </c>
      <c r="Q331" s="21"/>
    </row>
    <row r="332" spans="1:17" x14ac:dyDescent="0.3">
      <c r="A332" s="13">
        <v>2025071878</v>
      </c>
      <c r="B332" s="13">
        <v>11452168</v>
      </c>
      <c r="C332" s="13" t="s">
        <v>76</v>
      </c>
      <c r="D332" s="13" t="s">
        <v>55</v>
      </c>
      <c r="E332" s="13">
        <v>52879254</v>
      </c>
      <c r="F332" s="13">
        <v>27224</v>
      </c>
      <c r="G332" s="13" t="s">
        <v>10</v>
      </c>
      <c r="H332" s="13">
        <v>13183</v>
      </c>
      <c r="I332" s="14">
        <v>1698667</v>
      </c>
      <c r="J332" s="21"/>
      <c r="K332" s="21"/>
      <c r="L332" s="21"/>
      <c r="M332" s="21" t="e">
        <f>VLOOKUP(B:B,#REF!,1,0)</f>
        <v>#REF!</v>
      </c>
      <c r="N332" s="21">
        <v>11452168</v>
      </c>
      <c r="O332" s="21" t="e">
        <v>#N/A</v>
      </c>
      <c r="P332" s="21">
        <v>11452168</v>
      </c>
      <c r="Q332" s="21"/>
    </row>
    <row r="333" spans="1:17" x14ac:dyDescent="0.3">
      <c r="A333" s="13">
        <v>2025076250</v>
      </c>
      <c r="B333" s="13">
        <v>7578932</v>
      </c>
      <c r="C333" s="13" t="s">
        <v>8</v>
      </c>
      <c r="D333" s="13" t="s">
        <v>18</v>
      </c>
      <c r="E333" s="13">
        <v>1032677388</v>
      </c>
      <c r="F333" s="13">
        <v>26623</v>
      </c>
      <c r="G333" s="13" t="s">
        <v>10</v>
      </c>
      <c r="H333" s="13">
        <v>13110</v>
      </c>
      <c r="I333" s="14">
        <v>1694000</v>
      </c>
      <c r="J333" s="21"/>
      <c r="K333" s="21"/>
      <c r="L333" s="21"/>
      <c r="M333" s="21" t="e">
        <f>VLOOKUP(B:B,#REF!,1,0)</f>
        <v>#REF!</v>
      </c>
      <c r="N333" s="21">
        <v>7578932</v>
      </c>
      <c r="O333" s="21">
        <v>7578932</v>
      </c>
      <c r="P333" s="21">
        <v>7578932</v>
      </c>
      <c r="Q333" s="21"/>
    </row>
    <row r="334" spans="1:17" x14ac:dyDescent="0.3">
      <c r="A334" s="13">
        <v>2025076437</v>
      </c>
      <c r="B334" s="13">
        <v>10135054</v>
      </c>
      <c r="C334" s="13" t="s">
        <v>8</v>
      </c>
      <c r="D334" s="13" t="s">
        <v>22</v>
      </c>
      <c r="E334" s="13">
        <v>1001116838</v>
      </c>
      <c r="F334" s="13">
        <v>27104</v>
      </c>
      <c r="G334" s="13" t="s">
        <v>10</v>
      </c>
      <c r="H334" s="13">
        <v>13226</v>
      </c>
      <c r="I334" s="14">
        <v>1690593</v>
      </c>
      <c r="J334" s="21"/>
      <c r="K334" s="21"/>
      <c r="L334" s="21"/>
      <c r="M334" s="21" t="e">
        <f>VLOOKUP(B:B,#REF!,1,0)</f>
        <v>#REF!</v>
      </c>
      <c r="N334" s="21">
        <v>10135054</v>
      </c>
      <c r="O334" s="21">
        <v>10135054</v>
      </c>
      <c r="P334" s="21">
        <v>10135054</v>
      </c>
      <c r="Q334" s="21"/>
    </row>
    <row r="335" spans="1:17" x14ac:dyDescent="0.3">
      <c r="A335" s="13">
        <v>2025075740</v>
      </c>
      <c r="B335" s="13">
        <v>10228487</v>
      </c>
      <c r="C335" s="13" t="s">
        <v>8</v>
      </c>
      <c r="D335" s="13" t="s">
        <v>24</v>
      </c>
      <c r="E335" s="13">
        <v>1138074284</v>
      </c>
      <c r="F335" s="13">
        <v>27172</v>
      </c>
      <c r="G335" s="13" t="s">
        <v>10</v>
      </c>
      <c r="H335" s="13">
        <v>13452</v>
      </c>
      <c r="I335" s="14">
        <v>1689900</v>
      </c>
      <c r="J335" s="52">
        <v>45922</v>
      </c>
      <c r="K335" s="21" t="s">
        <v>67</v>
      </c>
      <c r="L335" s="21"/>
      <c r="M335" s="21" t="e">
        <f>VLOOKUP(B:B,#REF!,1,0)</f>
        <v>#REF!</v>
      </c>
      <c r="N335" s="21">
        <v>10228487</v>
      </c>
      <c r="O335" s="21">
        <v>10228487</v>
      </c>
      <c r="P335" s="21">
        <v>10228487</v>
      </c>
      <c r="Q335" s="21"/>
    </row>
    <row r="336" spans="1:17" x14ac:dyDescent="0.3">
      <c r="A336" s="13">
        <v>2025079285</v>
      </c>
      <c r="B336" s="13">
        <v>7255930</v>
      </c>
      <c r="C336" s="13" t="s">
        <v>8</v>
      </c>
      <c r="D336" s="13" t="s">
        <v>17</v>
      </c>
      <c r="E336" s="13">
        <v>1014284618</v>
      </c>
      <c r="F336" s="13">
        <v>27083</v>
      </c>
      <c r="G336" s="13" t="s">
        <v>10</v>
      </c>
      <c r="H336" s="13">
        <v>11360</v>
      </c>
      <c r="I336" s="14">
        <v>1687975</v>
      </c>
      <c r="J336" s="21"/>
      <c r="K336" s="21"/>
      <c r="L336" s="21"/>
      <c r="M336" s="21" t="e">
        <f>VLOOKUP(B:B,#REF!,1,0)</f>
        <v>#REF!</v>
      </c>
      <c r="N336" s="21">
        <v>7255930</v>
      </c>
      <c r="O336" s="21">
        <v>7255930</v>
      </c>
      <c r="P336" s="21">
        <v>7255930</v>
      </c>
      <c r="Q336" s="21"/>
    </row>
    <row r="337" spans="1:17" x14ac:dyDescent="0.3">
      <c r="A337" s="13">
        <v>2025072210</v>
      </c>
      <c r="B337" s="13">
        <v>10596459</v>
      </c>
      <c r="C337" s="13" t="s">
        <v>8</v>
      </c>
      <c r="D337" s="13" t="s">
        <v>11</v>
      </c>
      <c r="E337" s="13">
        <v>1016106935</v>
      </c>
      <c r="F337" s="13">
        <v>27064</v>
      </c>
      <c r="G337" s="13" t="s">
        <v>10</v>
      </c>
      <c r="H337" s="13">
        <v>10307</v>
      </c>
      <c r="I337" s="14">
        <v>1684000</v>
      </c>
      <c r="J337" s="52">
        <v>45922</v>
      </c>
      <c r="K337" s="21" t="s">
        <v>67</v>
      </c>
      <c r="L337" s="21"/>
      <c r="M337" s="21" t="e">
        <f>VLOOKUP(B:B,#REF!,1,0)</f>
        <v>#REF!</v>
      </c>
      <c r="N337" s="21">
        <v>10596459</v>
      </c>
      <c r="O337" s="21">
        <v>10596459</v>
      </c>
      <c r="P337" s="21" t="e">
        <v>#N/A</v>
      </c>
      <c r="Q337" s="21"/>
    </row>
    <row r="338" spans="1:17" x14ac:dyDescent="0.3">
      <c r="A338" s="13">
        <v>2025076129</v>
      </c>
      <c r="B338" s="13">
        <v>7600305</v>
      </c>
      <c r="C338" s="13" t="s">
        <v>8</v>
      </c>
      <c r="D338" s="13" t="s">
        <v>9</v>
      </c>
      <c r="E338" s="13">
        <v>1001275619</v>
      </c>
      <c r="F338" s="13">
        <v>27063</v>
      </c>
      <c r="G338" s="13" t="s">
        <v>10</v>
      </c>
      <c r="H338" s="13">
        <v>11003</v>
      </c>
      <c r="I338" s="14">
        <v>1683200</v>
      </c>
      <c r="J338" s="21"/>
      <c r="K338" s="21"/>
      <c r="L338" s="21"/>
      <c r="M338" s="21" t="e">
        <f>VLOOKUP(B:B,#REF!,1,0)</f>
        <v>#REF!</v>
      </c>
      <c r="N338" s="21">
        <v>7600305</v>
      </c>
      <c r="O338" s="21">
        <v>7600305</v>
      </c>
      <c r="P338" s="21">
        <v>7600305</v>
      </c>
      <c r="Q338" s="21"/>
    </row>
    <row r="339" spans="1:17" x14ac:dyDescent="0.3">
      <c r="A339" s="13">
        <v>2025074725</v>
      </c>
      <c r="B339" s="13">
        <v>5998588</v>
      </c>
      <c r="C339" s="13" t="s">
        <v>8</v>
      </c>
      <c r="D339" s="13" t="s">
        <v>19</v>
      </c>
      <c r="E339" s="13">
        <v>1024593276</v>
      </c>
      <c r="F339" s="13">
        <v>27068</v>
      </c>
      <c r="G339" s="13" t="s">
        <v>10</v>
      </c>
      <c r="H339" s="13">
        <v>13078</v>
      </c>
      <c r="I339" s="14">
        <v>1683200</v>
      </c>
      <c r="J339" s="21"/>
      <c r="K339" s="21"/>
      <c r="L339" s="21"/>
      <c r="M339" s="21" t="e">
        <f>VLOOKUP(B:B,#REF!,1,0)</f>
        <v>#REF!</v>
      </c>
      <c r="N339" s="21">
        <v>5998588</v>
      </c>
      <c r="O339" s="21">
        <v>5998588</v>
      </c>
      <c r="P339" s="21">
        <v>5998588</v>
      </c>
      <c r="Q339" s="21"/>
    </row>
    <row r="340" spans="1:17" x14ac:dyDescent="0.3">
      <c r="A340" s="13">
        <v>2025078654</v>
      </c>
      <c r="B340" s="13">
        <v>11106593</v>
      </c>
      <c r="C340" s="13" t="s">
        <v>8</v>
      </c>
      <c r="D340" s="13" t="s">
        <v>27</v>
      </c>
      <c r="E340" s="13">
        <v>1000218098</v>
      </c>
      <c r="F340" s="13">
        <v>26786</v>
      </c>
      <c r="G340" s="13" t="s">
        <v>10</v>
      </c>
      <c r="H340" s="13">
        <v>13183</v>
      </c>
      <c r="I340" s="14">
        <v>1683200</v>
      </c>
      <c r="J340" s="52">
        <v>45922</v>
      </c>
      <c r="K340" s="21" t="s">
        <v>67</v>
      </c>
      <c r="L340" s="21"/>
      <c r="M340" s="21" t="e">
        <f>VLOOKUP(B:B,#REF!,1,0)</f>
        <v>#REF!</v>
      </c>
      <c r="N340" s="21">
        <v>11106593</v>
      </c>
      <c r="O340" s="21">
        <v>11106593</v>
      </c>
      <c r="P340" s="21">
        <v>11106593</v>
      </c>
      <c r="Q340" s="21"/>
    </row>
    <row r="341" spans="1:17" x14ac:dyDescent="0.3">
      <c r="A341" s="13">
        <v>2025079358</v>
      </c>
      <c r="B341" s="13">
        <v>7689171</v>
      </c>
      <c r="C341" s="13" t="s">
        <v>8</v>
      </c>
      <c r="D341" s="13" t="s">
        <v>13</v>
      </c>
      <c r="E341" s="13">
        <v>52756032</v>
      </c>
      <c r="F341" s="13">
        <v>26668</v>
      </c>
      <c r="G341" s="13" t="s">
        <v>10</v>
      </c>
      <c r="H341" s="13">
        <v>12498</v>
      </c>
      <c r="I341" s="14">
        <v>1675510</v>
      </c>
      <c r="J341" s="21"/>
      <c r="K341" s="21"/>
      <c r="L341" s="21"/>
      <c r="M341" s="21" t="e">
        <f>VLOOKUP(B:B,#REF!,1,0)</f>
        <v>#REF!</v>
      </c>
      <c r="N341" s="21">
        <v>7689171</v>
      </c>
      <c r="O341" s="21">
        <v>7689171</v>
      </c>
      <c r="P341" s="21">
        <v>7689171</v>
      </c>
      <c r="Q341" s="21"/>
    </row>
    <row r="342" spans="1:17" x14ac:dyDescent="0.3">
      <c r="A342" s="13">
        <v>2025076619</v>
      </c>
      <c r="B342" s="13">
        <v>11167144</v>
      </c>
      <c r="C342" s="13" t="s">
        <v>8</v>
      </c>
      <c r="D342" s="13" t="s">
        <v>23</v>
      </c>
      <c r="E342" s="13">
        <v>1015449218</v>
      </c>
      <c r="F342" s="13">
        <v>24438</v>
      </c>
      <c r="G342" s="13" t="s">
        <v>10</v>
      </c>
      <c r="H342" s="13">
        <v>343</v>
      </c>
      <c r="I342" s="14">
        <v>1672800</v>
      </c>
      <c r="J342" s="21"/>
      <c r="K342" s="21"/>
      <c r="L342" s="21"/>
      <c r="M342" s="21" t="e">
        <f>VLOOKUP(B:B,#REF!,1,0)</f>
        <v>#REF!</v>
      </c>
      <c r="N342" s="21">
        <v>11167144</v>
      </c>
      <c r="O342" s="21">
        <v>11167144</v>
      </c>
      <c r="P342" s="21">
        <v>11167144</v>
      </c>
      <c r="Q342" s="21"/>
    </row>
    <row r="343" spans="1:17" x14ac:dyDescent="0.3">
      <c r="A343" s="13">
        <v>2025072019</v>
      </c>
      <c r="B343" s="13">
        <v>11034507</v>
      </c>
      <c r="C343" s="13" t="s">
        <v>28</v>
      </c>
      <c r="D343" s="13" t="s">
        <v>31</v>
      </c>
      <c r="E343" s="13">
        <v>1000250399</v>
      </c>
      <c r="F343" s="13">
        <v>27143</v>
      </c>
      <c r="G343" s="13" t="s">
        <v>10</v>
      </c>
      <c r="H343" s="13">
        <v>483</v>
      </c>
      <c r="I343" s="14">
        <v>1656000</v>
      </c>
      <c r="J343" s="21"/>
      <c r="K343" s="21"/>
      <c r="L343" s="21"/>
      <c r="M343" s="21" t="e">
        <f>VLOOKUP(B:B,#REF!,1,0)</f>
        <v>#REF!</v>
      </c>
      <c r="N343" s="21">
        <v>11034507</v>
      </c>
      <c r="O343" s="21" t="e">
        <v>#N/A</v>
      </c>
      <c r="P343" s="21">
        <v>11034507</v>
      </c>
      <c r="Q343" s="21"/>
    </row>
    <row r="344" spans="1:17" x14ac:dyDescent="0.3">
      <c r="A344" s="13">
        <v>2025072056</v>
      </c>
      <c r="B344" s="13">
        <v>6586902</v>
      </c>
      <c r="C344" s="13" t="s">
        <v>76</v>
      </c>
      <c r="D344" s="13" t="s">
        <v>32</v>
      </c>
      <c r="E344" s="13">
        <v>1002208098</v>
      </c>
      <c r="F344" s="13">
        <v>24462</v>
      </c>
      <c r="G344" s="13" t="s">
        <v>10</v>
      </c>
      <c r="H344" s="13">
        <v>13150</v>
      </c>
      <c r="I344" s="14">
        <v>1622507</v>
      </c>
      <c r="J344" s="21"/>
      <c r="K344" s="21"/>
      <c r="L344" s="21"/>
      <c r="M344" s="21" t="e">
        <f>VLOOKUP(B:B,#REF!,1,0)</f>
        <v>#REF!</v>
      </c>
      <c r="N344" s="21">
        <v>6586902</v>
      </c>
      <c r="O344" s="21">
        <v>6586902</v>
      </c>
      <c r="P344" s="21">
        <v>6586902</v>
      </c>
      <c r="Q344" s="21"/>
    </row>
    <row r="345" spans="1:17" x14ac:dyDescent="0.3">
      <c r="A345" s="13">
        <v>2025077954</v>
      </c>
      <c r="B345" s="13">
        <v>10283232</v>
      </c>
      <c r="C345" s="13" t="s">
        <v>8</v>
      </c>
      <c r="D345" s="13" t="s">
        <v>21</v>
      </c>
      <c r="E345" s="13">
        <v>1000727404</v>
      </c>
      <c r="F345" s="13">
        <v>24436</v>
      </c>
      <c r="G345" s="13" t="s">
        <v>10</v>
      </c>
      <c r="H345" s="13">
        <v>10044</v>
      </c>
      <c r="I345" s="14">
        <v>1607000</v>
      </c>
      <c r="J345" s="21"/>
      <c r="K345" s="21"/>
      <c r="L345" s="21"/>
      <c r="M345" s="21" t="e">
        <f>VLOOKUP(B:B,#REF!,1,0)</f>
        <v>#REF!</v>
      </c>
      <c r="N345" s="21">
        <v>10283232</v>
      </c>
      <c r="O345" s="21">
        <v>10283232</v>
      </c>
      <c r="P345" s="21">
        <v>10283232</v>
      </c>
      <c r="Q345" s="21"/>
    </row>
    <row r="346" spans="1:17" x14ac:dyDescent="0.3">
      <c r="A346" s="13">
        <v>2025078143</v>
      </c>
      <c r="B346" s="13">
        <v>11325749</v>
      </c>
      <c r="C346" s="13" t="s">
        <v>8</v>
      </c>
      <c r="D346" s="13" t="s">
        <v>14</v>
      </c>
      <c r="E346" s="13">
        <v>1033685482</v>
      </c>
      <c r="F346" s="13">
        <v>24441</v>
      </c>
      <c r="G346" s="13" t="s">
        <v>10</v>
      </c>
      <c r="H346" s="13">
        <v>12487</v>
      </c>
      <c r="I346" s="14">
        <v>1600000</v>
      </c>
      <c r="J346" s="21"/>
      <c r="K346" s="21"/>
      <c r="L346" s="21"/>
      <c r="M346" s="21" t="e">
        <f>VLOOKUP(B:B,#REF!,1,0)</f>
        <v>#REF!</v>
      </c>
      <c r="N346" s="21">
        <v>11325749</v>
      </c>
      <c r="O346" s="21">
        <v>11325749</v>
      </c>
      <c r="P346" s="21">
        <v>11325749</v>
      </c>
      <c r="Q346" s="21"/>
    </row>
    <row r="347" spans="1:17" x14ac:dyDescent="0.3">
      <c r="A347" s="13">
        <v>2025078345</v>
      </c>
      <c r="B347" s="13">
        <v>10699076</v>
      </c>
      <c r="C347" s="13" t="s">
        <v>8</v>
      </c>
      <c r="D347" s="13" t="s">
        <v>25</v>
      </c>
      <c r="E347" s="13">
        <v>1002525594</v>
      </c>
      <c r="F347" s="13">
        <v>26731</v>
      </c>
      <c r="G347" s="13" t="s">
        <v>10</v>
      </c>
      <c r="H347" s="13">
        <v>12267</v>
      </c>
      <c r="I347" s="14">
        <v>1583121</v>
      </c>
      <c r="J347" s="52">
        <v>45922</v>
      </c>
      <c r="K347" s="21" t="s">
        <v>67</v>
      </c>
      <c r="L347" s="21"/>
      <c r="M347" s="21" t="e">
        <f>VLOOKUP(B:B,#REF!,1,0)</f>
        <v>#REF!</v>
      </c>
      <c r="N347" s="21">
        <v>10699076</v>
      </c>
      <c r="O347" s="21">
        <v>10699076</v>
      </c>
      <c r="P347" s="21">
        <v>10699076</v>
      </c>
      <c r="Q347" s="21"/>
    </row>
    <row r="348" spans="1:17" x14ac:dyDescent="0.3">
      <c r="A348" s="13">
        <v>2025072449</v>
      </c>
      <c r="B348" s="13">
        <v>11165644</v>
      </c>
      <c r="C348" s="13" t="s">
        <v>8</v>
      </c>
      <c r="D348" s="13" t="s">
        <v>20</v>
      </c>
      <c r="E348" s="13">
        <v>52837437</v>
      </c>
      <c r="F348" s="13">
        <v>26730</v>
      </c>
      <c r="G348" s="13" t="s">
        <v>10</v>
      </c>
      <c r="H348" s="13">
        <v>13218</v>
      </c>
      <c r="I348" s="14">
        <v>1578000</v>
      </c>
      <c r="J348" s="21"/>
      <c r="K348" s="21"/>
      <c r="L348" s="21"/>
      <c r="M348" s="21" t="e">
        <f>VLOOKUP(B:B,#REF!,1,0)</f>
        <v>#REF!</v>
      </c>
      <c r="N348" s="21">
        <v>11165644</v>
      </c>
      <c r="O348" s="21">
        <v>11165644</v>
      </c>
      <c r="P348" s="21">
        <v>11165644</v>
      </c>
      <c r="Q348" s="21"/>
    </row>
    <row r="349" spans="1:17" x14ac:dyDescent="0.3">
      <c r="A349" s="13">
        <v>2025072970</v>
      </c>
      <c r="B349" s="13">
        <v>7758577</v>
      </c>
      <c r="C349" s="13" t="s">
        <v>8</v>
      </c>
      <c r="D349" s="13" t="s">
        <v>15</v>
      </c>
      <c r="E349" s="13">
        <v>1012434013</v>
      </c>
      <c r="F349" s="13">
        <v>26735</v>
      </c>
      <c r="G349" s="13" t="s">
        <v>10</v>
      </c>
      <c r="H349" s="13">
        <v>10942</v>
      </c>
      <c r="I349" s="14">
        <v>1578000</v>
      </c>
      <c r="J349" s="21"/>
      <c r="K349" s="21"/>
      <c r="L349" s="21"/>
      <c r="M349" s="21" t="e">
        <f>VLOOKUP(B:B,#REF!,1,0)</f>
        <v>#REF!</v>
      </c>
      <c r="N349" s="21">
        <v>7758577</v>
      </c>
      <c r="O349" s="21">
        <v>7758577</v>
      </c>
      <c r="P349" s="21">
        <v>7758577</v>
      </c>
      <c r="Q349" s="21"/>
    </row>
    <row r="350" spans="1:17" x14ac:dyDescent="0.3">
      <c r="A350" s="13">
        <v>2025079995</v>
      </c>
      <c r="B350" s="13">
        <v>10830593</v>
      </c>
      <c r="C350" s="13" t="s">
        <v>8</v>
      </c>
      <c r="D350" s="13" t="s">
        <v>26</v>
      </c>
      <c r="E350" s="13">
        <v>1018439309</v>
      </c>
      <c r="F350" s="13">
        <v>23384</v>
      </c>
      <c r="G350" s="13" t="s">
        <v>10</v>
      </c>
      <c r="H350" s="13">
        <v>10856</v>
      </c>
      <c r="I350" s="14">
        <v>1574000</v>
      </c>
      <c r="J350" s="21"/>
      <c r="K350" s="21"/>
      <c r="L350" s="21"/>
      <c r="M350" s="21" t="e">
        <f>VLOOKUP(B:B,#REF!,1,0)</f>
        <v>#REF!</v>
      </c>
      <c r="N350" s="21">
        <v>10830593</v>
      </c>
      <c r="O350" s="21">
        <v>10830593</v>
      </c>
      <c r="P350" s="21" t="e">
        <v>#N/A</v>
      </c>
      <c r="Q350" s="21"/>
    </row>
    <row r="351" spans="1:17" x14ac:dyDescent="0.3">
      <c r="A351" s="13">
        <v>2025072805</v>
      </c>
      <c r="B351" s="13">
        <v>7086868</v>
      </c>
      <c r="C351" s="13" t="s">
        <v>8</v>
      </c>
      <c r="D351" s="13" t="s">
        <v>65</v>
      </c>
      <c r="E351" s="13">
        <v>1000338067</v>
      </c>
      <c r="F351" s="13">
        <v>24433</v>
      </c>
      <c r="G351" s="13" t="s">
        <v>10</v>
      </c>
      <c r="H351" s="13">
        <v>10850</v>
      </c>
      <c r="I351" s="14">
        <v>1571352</v>
      </c>
      <c r="J351" s="21"/>
      <c r="K351" s="21"/>
      <c r="L351" s="21"/>
      <c r="M351" s="21" t="e">
        <f>VLOOKUP(B:B,#REF!,1,0)</f>
        <v>#REF!</v>
      </c>
      <c r="N351" s="21">
        <v>7086868</v>
      </c>
      <c r="O351" s="21">
        <v>7086868</v>
      </c>
      <c r="P351" s="21">
        <v>7086868</v>
      </c>
      <c r="Q351" s="21"/>
    </row>
    <row r="352" spans="1:17" x14ac:dyDescent="0.3">
      <c r="A352" s="13">
        <v>2025075926</v>
      </c>
      <c r="B352" s="13">
        <v>11428250</v>
      </c>
      <c r="C352" s="13" t="s">
        <v>76</v>
      </c>
      <c r="D352" s="13" t="s">
        <v>32</v>
      </c>
      <c r="E352" s="13">
        <v>1002208098</v>
      </c>
      <c r="F352" s="13">
        <v>24462</v>
      </c>
      <c r="G352" s="13" t="s">
        <v>10</v>
      </c>
      <c r="H352" s="13">
        <v>13543</v>
      </c>
      <c r="I352" s="14">
        <v>1550000</v>
      </c>
      <c r="J352" s="21"/>
      <c r="K352" s="21"/>
      <c r="L352" s="21"/>
      <c r="M352" s="21" t="e">
        <f>VLOOKUP(B:B,#REF!,1,0)</f>
        <v>#REF!</v>
      </c>
      <c r="N352" s="21">
        <v>11428250</v>
      </c>
      <c r="O352" s="21" t="e">
        <v>#N/A</v>
      </c>
      <c r="P352" s="21">
        <v>11428250</v>
      </c>
      <c r="Q352" s="21"/>
    </row>
    <row r="353" spans="1:17" x14ac:dyDescent="0.3">
      <c r="A353" s="13">
        <v>2025072267</v>
      </c>
      <c r="B353" s="13">
        <v>10690152</v>
      </c>
      <c r="C353" s="13" t="s">
        <v>8</v>
      </c>
      <c r="D353" s="13" t="s">
        <v>16</v>
      </c>
      <c r="E353" s="13">
        <v>1019115964</v>
      </c>
      <c r="F353" s="13">
        <v>23410</v>
      </c>
      <c r="G353" s="13" t="s">
        <v>10</v>
      </c>
      <c r="H353" s="13">
        <v>2156</v>
      </c>
      <c r="I353" s="14">
        <v>1539000</v>
      </c>
      <c r="J353" s="21"/>
      <c r="K353" s="21"/>
      <c r="L353" s="21"/>
      <c r="M353" s="21" t="e">
        <f>VLOOKUP(B:B,#REF!,1,0)</f>
        <v>#REF!</v>
      </c>
      <c r="N353" s="21">
        <v>10690152</v>
      </c>
      <c r="O353" s="21">
        <v>10690152</v>
      </c>
      <c r="P353" s="21">
        <v>10690152</v>
      </c>
      <c r="Q353" s="21"/>
    </row>
    <row r="354" spans="1:17" x14ac:dyDescent="0.3">
      <c r="A354" s="13">
        <v>2025074423</v>
      </c>
      <c r="B354" s="13">
        <v>10014134</v>
      </c>
      <c r="C354" s="13" t="s">
        <v>8</v>
      </c>
      <c r="D354" s="13" t="s">
        <v>18</v>
      </c>
      <c r="E354" s="13">
        <v>1032677388</v>
      </c>
      <c r="F354" s="13">
        <v>26623</v>
      </c>
      <c r="G354" s="13" t="s">
        <v>10</v>
      </c>
      <c r="H354" s="13">
        <v>11003</v>
      </c>
      <c r="I354" s="14">
        <v>1530500</v>
      </c>
      <c r="J354" s="52">
        <v>45922</v>
      </c>
      <c r="K354" s="21" t="s">
        <v>67</v>
      </c>
      <c r="L354" s="21"/>
      <c r="M354" s="21" t="e">
        <f>VLOOKUP(B:B,#REF!,1,0)</f>
        <v>#REF!</v>
      </c>
      <c r="N354" s="21">
        <v>10014134</v>
      </c>
      <c r="O354" s="21">
        <v>10014134</v>
      </c>
      <c r="P354" s="21">
        <v>10014134</v>
      </c>
      <c r="Q354" s="21"/>
    </row>
    <row r="355" spans="1:17" x14ac:dyDescent="0.3">
      <c r="A355" s="13">
        <v>2025075010</v>
      </c>
      <c r="B355" s="13">
        <v>6021502</v>
      </c>
      <c r="C355" s="13" t="s">
        <v>8</v>
      </c>
      <c r="D355" s="13" t="s">
        <v>22</v>
      </c>
      <c r="E355" s="13">
        <v>1001116838</v>
      </c>
      <c r="F355" s="13">
        <v>27104</v>
      </c>
      <c r="G355" s="13" t="s">
        <v>10</v>
      </c>
      <c r="H355" s="13">
        <v>11332</v>
      </c>
      <c r="I355" s="14">
        <v>1522000</v>
      </c>
      <c r="J355" s="21"/>
      <c r="K355" s="21"/>
      <c r="L355" s="21"/>
      <c r="M355" s="21" t="e">
        <f>VLOOKUP(B:B,#REF!,1,0)</f>
        <v>#REF!</v>
      </c>
      <c r="N355" s="21">
        <v>6021502</v>
      </c>
      <c r="O355" s="21">
        <v>6021502</v>
      </c>
      <c r="P355" s="21">
        <v>6021502</v>
      </c>
      <c r="Q355" s="21"/>
    </row>
    <row r="356" spans="1:17" x14ac:dyDescent="0.3">
      <c r="A356" s="13">
        <v>2025072173</v>
      </c>
      <c r="B356" s="13">
        <v>5871054</v>
      </c>
      <c r="C356" s="13" t="s">
        <v>8</v>
      </c>
      <c r="D356" s="13" t="s">
        <v>24</v>
      </c>
      <c r="E356" s="13">
        <v>1138074284</v>
      </c>
      <c r="F356" s="13">
        <v>27172</v>
      </c>
      <c r="G356" s="13" t="s">
        <v>10</v>
      </c>
      <c r="H356" s="13">
        <v>11508</v>
      </c>
      <c r="I356" s="14">
        <v>1521800</v>
      </c>
      <c r="J356" s="21"/>
      <c r="K356" s="21"/>
      <c r="L356" s="21"/>
      <c r="M356" s="21" t="e">
        <f>VLOOKUP(B:B,#REF!,1,0)</f>
        <v>#REF!</v>
      </c>
      <c r="N356" s="21">
        <v>5871054</v>
      </c>
      <c r="O356" s="21">
        <v>5871054</v>
      </c>
      <c r="P356" s="21">
        <v>5871054</v>
      </c>
      <c r="Q356" s="21"/>
    </row>
    <row r="357" spans="1:17" x14ac:dyDescent="0.3">
      <c r="A357" s="13">
        <v>2025078688</v>
      </c>
      <c r="B357" s="13">
        <v>10908313</v>
      </c>
      <c r="C357" s="13" t="s">
        <v>28</v>
      </c>
      <c r="D357" s="13" t="s">
        <v>56</v>
      </c>
      <c r="E357" s="13">
        <v>1000004978</v>
      </c>
      <c r="F357" s="13">
        <v>27203</v>
      </c>
      <c r="G357" s="13" t="s">
        <v>10</v>
      </c>
      <c r="H357" s="13">
        <v>10618</v>
      </c>
      <c r="I357" s="14">
        <v>1520446</v>
      </c>
      <c r="J357" s="21"/>
      <c r="K357" s="21"/>
      <c r="L357" s="21"/>
      <c r="M357" s="21" t="e">
        <f>VLOOKUP(B:B,#REF!,1,0)</f>
        <v>#REF!</v>
      </c>
      <c r="N357" s="21">
        <v>10908313</v>
      </c>
      <c r="O357" s="21" t="e">
        <v>#N/A</v>
      </c>
      <c r="P357" s="21">
        <v>10908313</v>
      </c>
      <c r="Q357" s="21"/>
    </row>
    <row r="358" spans="1:17" x14ac:dyDescent="0.3">
      <c r="A358" s="13">
        <v>2025073336</v>
      </c>
      <c r="B358" s="13">
        <v>11564850</v>
      </c>
      <c r="C358" s="13" t="s">
        <v>8</v>
      </c>
      <c r="D358" s="13" t="s">
        <v>17</v>
      </c>
      <c r="E358" s="13">
        <v>1014284618</v>
      </c>
      <c r="F358" s="13">
        <v>27083</v>
      </c>
      <c r="G358" s="13" t="s">
        <v>10</v>
      </c>
      <c r="H358" s="13">
        <v>10160</v>
      </c>
      <c r="I358" s="14">
        <v>1520000</v>
      </c>
      <c r="J358" s="21"/>
      <c r="K358" s="21"/>
      <c r="L358" s="21"/>
      <c r="M358" s="21" t="e">
        <f>VLOOKUP(B:B,#REF!,1,0)</f>
        <v>#REF!</v>
      </c>
      <c r="N358" s="21">
        <v>11564850</v>
      </c>
      <c r="O358" s="21">
        <v>11564850</v>
      </c>
      <c r="P358" s="21">
        <v>11564850</v>
      </c>
      <c r="Q358" s="21"/>
    </row>
    <row r="359" spans="1:17" x14ac:dyDescent="0.3">
      <c r="A359" s="13">
        <v>2025080566</v>
      </c>
      <c r="B359" s="13">
        <v>10561448</v>
      </c>
      <c r="C359" s="13" t="s">
        <v>8</v>
      </c>
      <c r="D359" s="13" t="s">
        <v>11</v>
      </c>
      <c r="E359" s="13">
        <v>1016106935</v>
      </c>
      <c r="F359" s="13">
        <v>27064</v>
      </c>
      <c r="G359" s="13" t="s">
        <v>10</v>
      </c>
      <c r="H359" s="13">
        <v>11517</v>
      </c>
      <c r="I359" s="14">
        <v>1514744</v>
      </c>
      <c r="J359" s="21"/>
      <c r="K359" s="21"/>
      <c r="L359" s="21"/>
      <c r="M359" s="21" t="e">
        <f>VLOOKUP(B:B,#REF!,1,0)</f>
        <v>#REF!</v>
      </c>
      <c r="N359" s="21">
        <v>10561448</v>
      </c>
      <c r="O359" s="21">
        <v>10561448</v>
      </c>
      <c r="P359" s="21">
        <v>10561448</v>
      </c>
      <c r="Q359" s="21"/>
    </row>
    <row r="360" spans="1:17" x14ac:dyDescent="0.3">
      <c r="A360" s="13">
        <v>2025076580</v>
      </c>
      <c r="B360" s="13">
        <v>7416642</v>
      </c>
      <c r="C360" s="13" t="s">
        <v>8</v>
      </c>
      <c r="D360" s="13" t="s">
        <v>27</v>
      </c>
      <c r="E360" s="13">
        <v>1000218098</v>
      </c>
      <c r="F360" s="13">
        <v>26786</v>
      </c>
      <c r="G360" s="13" t="s">
        <v>10</v>
      </c>
      <c r="H360" s="13">
        <v>11199</v>
      </c>
      <c r="I360" s="14">
        <v>1514500</v>
      </c>
      <c r="J360" s="21"/>
      <c r="K360" s="21"/>
      <c r="L360" s="21"/>
      <c r="M360" s="21" t="e">
        <f>VLOOKUP(B:B,#REF!,1,0)</f>
        <v>#REF!</v>
      </c>
      <c r="N360" s="21">
        <v>7416642</v>
      </c>
      <c r="O360" s="21">
        <v>7416642</v>
      </c>
      <c r="P360" s="21">
        <v>7416642</v>
      </c>
      <c r="Q360" s="21"/>
    </row>
    <row r="361" spans="1:17" x14ac:dyDescent="0.3">
      <c r="A361" s="13">
        <v>2025080477</v>
      </c>
      <c r="B361" s="13">
        <v>7429631</v>
      </c>
      <c r="C361" s="13" t="s">
        <v>8</v>
      </c>
      <c r="D361" s="13" t="s">
        <v>9</v>
      </c>
      <c r="E361" s="13">
        <v>1001275619</v>
      </c>
      <c r="F361" s="13">
        <v>27063</v>
      </c>
      <c r="G361" s="13" t="s">
        <v>10</v>
      </c>
      <c r="H361" s="13">
        <v>11448</v>
      </c>
      <c r="I361" s="14">
        <v>1513231</v>
      </c>
      <c r="J361" s="21"/>
      <c r="K361" s="21"/>
      <c r="L361" s="21"/>
      <c r="M361" s="21" t="e">
        <f>VLOOKUP(B:B,#REF!,1,0)</f>
        <v>#REF!</v>
      </c>
      <c r="N361" s="21">
        <v>7429631</v>
      </c>
      <c r="O361" s="21">
        <v>7429631</v>
      </c>
      <c r="P361" s="21">
        <v>7429631</v>
      </c>
      <c r="Q361" s="21"/>
    </row>
    <row r="362" spans="1:17" x14ac:dyDescent="0.3">
      <c r="A362" s="13">
        <v>2025080135</v>
      </c>
      <c r="B362" s="13">
        <v>10501459</v>
      </c>
      <c r="C362" s="13" t="s">
        <v>8</v>
      </c>
      <c r="D362" s="13" t="s">
        <v>19</v>
      </c>
      <c r="E362" s="13">
        <v>1024593276</v>
      </c>
      <c r="F362" s="13">
        <v>27068</v>
      </c>
      <c r="G362" s="13" t="s">
        <v>10</v>
      </c>
      <c r="H362" s="13">
        <v>2001</v>
      </c>
      <c r="I362" s="14">
        <v>1512400</v>
      </c>
      <c r="J362" s="21"/>
      <c r="K362" s="21"/>
      <c r="L362" s="21"/>
      <c r="M362" s="21" t="e">
        <f>VLOOKUP(B:B,#REF!,1,0)</f>
        <v>#REF!</v>
      </c>
      <c r="N362" s="21">
        <v>10501459</v>
      </c>
      <c r="O362" s="21">
        <v>10501459</v>
      </c>
      <c r="P362" s="21">
        <v>10501459</v>
      </c>
      <c r="Q362" s="21"/>
    </row>
    <row r="363" spans="1:17" x14ac:dyDescent="0.3">
      <c r="A363" s="13">
        <v>2025077088</v>
      </c>
      <c r="B363" s="13">
        <v>7182489</v>
      </c>
      <c r="C363" s="13" t="s">
        <v>8</v>
      </c>
      <c r="D363" s="13" t="s">
        <v>20</v>
      </c>
      <c r="E363" s="13">
        <v>52837437</v>
      </c>
      <c r="F363" s="13">
        <v>26730</v>
      </c>
      <c r="G363" s="13" t="s">
        <v>10</v>
      </c>
      <c r="H363" s="13">
        <v>13439</v>
      </c>
      <c r="I363" s="14">
        <v>1510896</v>
      </c>
      <c r="J363" s="21"/>
      <c r="K363" s="21"/>
      <c r="L363" s="21"/>
      <c r="M363" s="21" t="e">
        <f>VLOOKUP(B:B,#REF!,1,0)</f>
        <v>#REF!</v>
      </c>
      <c r="N363" s="21">
        <v>7182489</v>
      </c>
      <c r="O363" s="21">
        <v>7182489</v>
      </c>
      <c r="P363" s="21">
        <v>7182489</v>
      </c>
      <c r="Q363" s="21"/>
    </row>
    <row r="364" spans="1:17" x14ac:dyDescent="0.3">
      <c r="A364" s="13">
        <v>2025073270</v>
      </c>
      <c r="B364" s="13">
        <v>11386108</v>
      </c>
      <c r="C364" s="13" t="s">
        <v>8</v>
      </c>
      <c r="D364" s="13" t="s">
        <v>21</v>
      </c>
      <c r="E364" s="13">
        <v>1000727404</v>
      </c>
      <c r="F364" s="13">
        <v>24436</v>
      </c>
      <c r="G364" s="13" t="s">
        <v>10</v>
      </c>
      <c r="H364" s="13">
        <v>13802</v>
      </c>
      <c r="I364" s="14">
        <v>1500000</v>
      </c>
      <c r="J364" s="52">
        <v>45922</v>
      </c>
      <c r="K364" s="21" t="s">
        <v>67</v>
      </c>
      <c r="L364" s="21"/>
      <c r="M364" s="21" t="e">
        <f>VLOOKUP(B:B,#REF!,1,0)</f>
        <v>#REF!</v>
      </c>
      <c r="N364" s="21">
        <v>11386108</v>
      </c>
      <c r="O364" s="21">
        <v>11386108</v>
      </c>
      <c r="P364" s="21">
        <v>11386108</v>
      </c>
      <c r="Q364" s="21"/>
    </row>
    <row r="365" spans="1:17" x14ac:dyDescent="0.3">
      <c r="A365" s="13">
        <v>2025072010</v>
      </c>
      <c r="B365" s="13">
        <v>10753717</v>
      </c>
      <c r="C365" s="13" t="s">
        <v>28</v>
      </c>
      <c r="D365" s="13" t="s">
        <v>56</v>
      </c>
      <c r="E365" s="13">
        <v>1000004978</v>
      </c>
      <c r="F365" s="13">
        <v>27203</v>
      </c>
      <c r="G365" s="13" t="s">
        <v>10</v>
      </c>
      <c r="H365" s="13">
        <v>483</v>
      </c>
      <c r="I365" s="14">
        <v>1500000</v>
      </c>
      <c r="J365" s="21"/>
      <c r="K365" s="21"/>
      <c r="L365" s="21"/>
      <c r="M365" s="21" t="e">
        <f>VLOOKUP(B:B,#REF!,1,0)</f>
        <v>#REF!</v>
      </c>
      <c r="N365" s="21" t="e">
        <v>#N/A</v>
      </c>
      <c r="O365" s="21">
        <v>10753717</v>
      </c>
      <c r="P365" s="21" t="e">
        <v>#N/A</v>
      </c>
      <c r="Q365" s="21"/>
    </row>
    <row r="366" spans="1:17" x14ac:dyDescent="0.3">
      <c r="A366" s="13">
        <v>2025073509</v>
      </c>
      <c r="B366" s="13">
        <v>10910191</v>
      </c>
      <c r="C366" s="13" t="s">
        <v>8</v>
      </c>
      <c r="D366" s="13" t="s">
        <v>25</v>
      </c>
      <c r="E366" s="13">
        <v>1002525594</v>
      </c>
      <c r="F366" s="13">
        <v>26731</v>
      </c>
      <c r="G366" s="13" t="s">
        <v>10</v>
      </c>
      <c r="H366" s="13">
        <v>2158</v>
      </c>
      <c r="I366" s="14">
        <v>1500000</v>
      </c>
      <c r="J366" s="52">
        <v>45922</v>
      </c>
      <c r="K366" s="21" t="s">
        <v>67</v>
      </c>
      <c r="L366" s="21"/>
      <c r="M366" s="21" t="e">
        <f>VLOOKUP(B:B,#REF!,1,0)</f>
        <v>#REF!</v>
      </c>
      <c r="N366" s="21">
        <v>10910191</v>
      </c>
      <c r="O366" s="21" t="e">
        <v>#N/A</v>
      </c>
      <c r="P366" s="21" t="e">
        <v>#N/A</v>
      </c>
      <c r="Q366" s="21"/>
    </row>
    <row r="367" spans="1:17" x14ac:dyDescent="0.3">
      <c r="A367" s="13">
        <v>2025075087</v>
      </c>
      <c r="B367" s="13">
        <v>6574293</v>
      </c>
      <c r="C367" s="13" t="s">
        <v>8</v>
      </c>
      <c r="D367" s="13" t="s">
        <v>15</v>
      </c>
      <c r="E367" s="13">
        <v>1012434013</v>
      </c>
      <c r="F367" s="13">
        <v>26735</v>
      </c>
      <c r="G367" s="13" t="s">
        <v>10</v>
      </c>
      <c r="H367" s="13">
        <v>175</v>
      </c>
      <c r="I367" s="14">
        <v>1500000</v>
      </c>
      <c r="J367" s="21"/>
      <c r="K367" s="21"/>
      <c r="L367" s="21"/>
      <c r="M367" s="21" t="e">
        <f>VLOOKUP(B:B,#REF!,1,0)</f>
        <v>#REF!</v>
      </c>
      <c r="N367" s="21">
        <v>6574293</v>
      </c>
      <c r="O367" s="21">
        <v>6574293</v>
      </c>
      <c r="P367" s="21">
        <v>6574293</v>
      </c>
      <c r="Q367" s="21"/>
    </row>
    <row r="368" spans="1:17" x14ac:dyDescent="0.3">
      <c r="A368" s="13">
        <v>2025075433</v>
      </c>
      <c r="B368" s="13">
        <v>10300518</v>
      </c>
      <c r="C368" s="13" t="s">
        <v>28</v>
      </c>
      <c r="D368" s="13" t="s">
        <v>32</v>
      </c>
      <c r="E368" s="13">
        <v>1002208098</v>
      </c>
      <c r="F368" s="13">
        <v>24462</v>
      </c>
      <c r="G368" s="13" t="s">
        <v>10</v>
      </c>
      <c r="H368" s="13">
        <v>11384</v>
      </c>
      <c r="I368" s="14">
        <v>1500000</v>
      </c>
      <c r="J368" s="21"/>
      <c r="K368" s="21"/>
      <c r="L368" s="21"/>
      <c r="M368" s="21" t="e">
        <f>VLOOKUP(B:B,#REF!,1,0)</f>
        <v>#REF!</v>
      </c>
      <c r="N368" s="21">
        <v>10300518</v>
      </c>
      <c r="O368" s="21" t="e">
        <v>#N/A</v>
      </c>
      <c r="P368" s="21">
        <v>10300518</v>
      </c>
      <c r="Q368" s="21"/>
    </row>
    <row r="369" spans="1:17" x14ac:dyDescent="0.3">
      <c r="A369" s="13">
        <v>2025071925</v>
      </c>
      <c r="B369" s="13">
        <v>10228570</v>
      </c>
      <c r="C369" s="13" t="s">
        <v>76</v>
      </c>
      <c r="D369" s="13" t="s">
        <v>34</v>
      </c>
      <c r="E369" s="13">
        <v>1014190282</v>
      </c>
      <c r="F369" s="13">
        <v>27166</v>
      </c>
      <c r="G369" s="13" t="s">
        <v>10</v>
      </c>
      <c r="H369" s="13">
        <v>12501</v>
      </c>
      <c r="I369" s="14">
        <v>1500000</v>
      </c>
      <c r="J369" s="21"/>
      <c r="K369" s="21"/>
      <c r="L369" s="21"/>
      <c r="M369" s="21" t="e">
        <f>VLOOKUP(B:B,#REF!,1,0)</f>
        <v>#REF!</v>
      </c>
      <c r="N369" s="21">
        <v>10228570</v>
      </c>
      <c r="O369" s="21" t="e">
        <v>#N/A</v>
      </c>
      <c r="P369" s="21">
        <v>10228570</v>
      </c>
      <c r="Q369" s="21"/>
    </row>
    <row r="370" spans="1:17" x14ac:dyDescent="0.3">
      <c r="A370" s="13">
        <v>2025073777</v>
      </c>
      <c r="B370" s="13">
        <v>10950934</v>
      </c>
      <c r="C370" s="13" t="s">
        <v>8</v>
      </c>
      <c r="D370" s="13" t="s">
        <v>14</v>
      </c>
      <c r="E370" s="13">
        <v>1033685482</v>
      </c>
      <c r="F370" s="13">
        <v>24441</v>
      </c>
      <c r="G370" s="13" t="s">
        <v>10</v>
      </c>
      <c r="H370" s="13">
        <v>11512</v>
      </c>
      <c r="I370" s="14">
        <v>1472800</v>
      </c>
      <c r="J370" s="21"/>
      <c r="K370" s="21"/>
      <c r="L370" s="21"/>
      <c r="M370" s="21" t="e">
        <f>VLOOKUP(B:B,#REF!,1,0)</f>
        <v>#REF!</v>
      </c>
      <c r="N370" s="21" t="e">
        <v>#N/A</v>
      </c>
      <c r="O370" s="21">
        <v>10950934</v>
      </c>
      <c r="P370" s="21">
        <v>10950934</v>
      </c>
      <c r="Q370" s="21"/>
    </row>
    <row r="371" spans="1:17" x14ac:dyDescent="0.3">
      <c r="A371" s="13">
        <v>2025072461</v>
      </c>
      <c r="B371" s="13">
        <v>10564586</v>
      </c>
      <c r="C371" s="13" t="s">
        <v>8</v>
      </c>
      <c r="D371" s="13" t="s">
        <v>23</v>
      </c>
      <c r="E371" s="13">
        <v>1015449218</v>
      </c>
      <c r="F371" s="13">
        <v>24438</v>
      </c>
      <c r="G371" s="13" t="s">
        <v>10</v>
      </c>
      <c r="H371" s="13">
        <v>11444</v>
      </c>
      <c r="I371" s="14">
        <v>1440000</v>
      </c>
      <c r="J371" s="21"/>
      <c r="K371" s="21"/>
      <c r="L371" s="21"/>
      <c r="M371" s="21" t="e">
        <f>VLOOKUP(B:B,#REF!,1,0)</f>
        <v>#REF!</v>
      </c>
      <c r="N371" s="21">
        <v>10564586</v>
      </c>
      <c r="O371" s="21">
        <v>10564586</v>
      </c>
      <c r="P371" s="21">
        <v>10564586</v>
      </c>
      <c r="Q371" s="21"/>
    </row>
    <row r="372" spans="1:17" x14ac:dyDescent="0.3">
      <c r="A372" s="13">
        <v>2025072810</v>
      </c>
      <c r="B372" s="13">
        <v>6570826</v>
      </c>
      <c r="C372" s="13" t="s">
        <v>8</v>
      </c>
      <c r="D372" s="13" t="s">
        <v>13</v>
      </c>
      <c r="E372" s="13">
        <v>52756032</v>
      </c>
      <c r="F372" s="13">
        <v>26668</v>
      </c>
      <c r="G372" s="13" t="s">
        <v>10</v>
      </c>
      <c r="H372" s="13">
        <v>10597</v>
      </c>
      <c r="I372" s="14">
        <v>1435013</v>
      </c>
      <c r="J372" s="21"/>
      <c r="K372" s="21"/>
      <c r="L372" s="21"/>
      <c r="M372" s="21" t="e">
        <f>VLOOKUP(B:B,#REF!,1,0)</f>
        <v>#REF!</v>
      </c>
      <c r="N372" s="21">
        <v>6570826</v>
      </c>
      <c r="O372" s="21">
        <v>6570826</v>
      </c>
      <c r="P372" s="21">
        <v>6570826</v>
      </c>
      <c r="Q372" s="21"/>
    </row>
    <row r="373" spans="1:17" x14ac:dyDescent="0.3">
      <c r="A373" s="13">
        <v>2025071971</v>
      </c>
      <c r="B373" s="13">
        <v>10280156</v>
      </c>
      <c r="C373" s="13" t="s">
        <v>8</v>
      </c>
      <c r="D373" s="13" t="s">
        <v>26</v>
      </c>
      <c r="E373" s="13">
        <v>1018439309</v>
      </c>
      <c r="F373" s="13">
        <v>23384</v>
      </c>
      <c r="G373" s="13" t="s">
        <v>10</v>
      </c>
      <c r="H373" s="13">
        <v>11423</v>
      </c>
      <c r="I373" s="14">
        <v>1420640</v>
      </c>
      <c r="J373" s="52">
        <v>45922</v>
      </c>
      <c r="K373" s="21" t="s">
        <v>67</v>
      </c>
      <c r="L373" s="21"/>
      <c r="M373" s="21" t="e">
        <f>VLOOKUP(B:B,#REF!,1,0)</f>
        <v>#REF!</v>
      </c>
      <c r="N373" s="21">
        <v>10280156</v>
      </c>
      <c r="O373" s="21">
        <v>10280156</v>
      </c>
      <c r="P373" s="21">
        <v>10280156</v>
      </c>
      <c r="Q373" s="21"/>
    </row>
    <row r="374" spans="1:17" x14ac:dyDescent="0.3">
      <c r="A374" s="13">
        <v>2025079189</v>
      </c>
      <c r="B374" s="13">
        <v>10830753</v>
      </c>
      <c r="C374" s="13" t="s">
        <v>8</v>
      </c>
      <c r="D374" s="13" t="s">
        <v>65</v>
      </c>
      <c r="E374" s="13">
        <v>1000338067</v>
      </c>
      <c r="F374" s="13">
        <v>24433</v>
      </c>
      <c r="G374" s="13" t="s">
        <v>10</v>
      </c>
      <c r="H374" s="13">
        <v>10909</v>
      </c>
      <c r="I374" s="14">
        <v>1420640</v>
      </c>
      <c r="J374" s="52">
        <v>45922</v>
      </c>
      <c r="K374" s="21" t="s">
        <v>67</v>
      </c>
      <c r="L374" s="21"/>
      <c r="M374" s="21" t="e">
        <f>VLOOKUP(B:B,#REF!,1,0)</f>
        <v>#REF!</v>
      </c>
      <c r="N374" s="21">
        <v>10830753</v>
      </c>
      <c r="O374" s="21">
        <v>10830753</v>
      </c>
      <c r="P374" s="21">
        <v>10830753</v>
      </c>
      <c r="Q374" s="21"/>
    </row>
    <row r="375" spans="1:17" x14ac:dyDescent="0.3">
      <c r="A375" s="13">
        <v>2025072143</v>
      </c>
      <c r="B375" s="13">
        <v>11305728</v>
      </c>
      <c r="C375" s="13" t="s">
        <v>8</v>
      </c>
      <c r="D375" s="13" t="s">
        <v>18</v>
      </c>
      <c r="E375" s="13">
        <v>1032677388</v>
      </c>
      <c r="F375" s="13">
        <v>26623</v>
      </c>
      <c r="G375" s="13" t="s">
        <v>10</v>
      </c>
      <c r="H375" s="13">
        <v>11508</v>
      </c>
      <c r="I375" s="14">
        <v>1400000</v>
      </c>
      <c r="J375" s="21"/>
      <c r="K375" s="21"/>
      <c r="L375" s="21"/>
      <c r="M375" s="21" t="e">
        <f>VLOOKUP(B:B,#REF!,1,0)</f>
        <v>#REF!</v>
      </c>
      <c r="N375" s="21">
        <v>11305728</v>
      </c>
      <c r="O375" s="21">
        <v>11305728</v>
      </c>
      <c r="P375" s="21">
        <v>11305728</v>
      </c>
      <c r="Q375" s="21"/>
    </row>
    <row r="376" spans="1:17" x14ac:dyDescent="0.3">
      <c r="A376" s="13">
        <v>2025073276</v>
      </c>
      <c r="B376" s="13">
        <v>11678387</v>
      </c>
      <c r="C376" s="13" t="s">
        <v>8</v>
      </c>
      <c r="D376" s="13" t="s">
        <v>11</v>
      </c>
      <c r="E376" s="13">
        <v>1016106935</v>
      </c>
      <c r="F376" s="13">
        <v>27064</v>
      </c>
      <c r="G376" s="13" t="s">
        <v>10</v>
      </c>
      <c r="H376" s="13">
        <v>10618</v>
      </c>
      <c r="I376" s="14">
        <v>1400000</v>
      </c>
      <c r="J376" s="21"/>
      <c r="K376" s="21"/>
      <c r="L376" s="21"/>
      <c r="M376" s="21" t="e">
        <f>VLOOKUP(B:B,#REF!,1,0)</f>
        <v>#REF!</v>
      </c>
      <c r="N376" s="21">
        <v>11678387</v>
      </c>
      <c r="O376" s="21">
        <v>11678387</v>
      </c>
      <c r="P376" s="21">
        <v>11678387</v>
      </c>
      <c r="Q376" s="21"/>
    </row>
    <row r="377" spans="1:17" x14ac:dyDescent="0.3">
      <c r="A377" s="13">
        <v>2025076139</v>
      </c>
      <c r="B377" s="13">
        <v>11351828</v>
      </c>
      <c r="C377" s="13" t="s">
        <v>8</v>
      </c>
      <c r="D377" s="13" t="s">
        <v>16</v>
      </c>
      <c r="E377" s="13">
        <v>1019115964</v>
      </c>
      <c r="F377" s="13">
        <v>23410</v>
      </c>
      <c r="G377" s="13" t="s">
        <v>10</v>
      </c>
      <c r="H377" s="13">
        <v>10456</v>
      </c>
      <c r="I377" s="14">
        <v>1400000</v>
      </c>
      <c r="J377" s="52">
        <v>45922</v>
      </c>
      <c r="K377" s="21" t="s">
        <v>67</v>
      </c>
      <c r="L377" s="21"/>
      <c r="M377" s="21" t="e">
        <f>VLOOKUP(B:B,#REF!,1,0)</f>
        <v>#REF!</v>
      </c>
      <c r="N377" s="21">
        <v>11351828</v>
      </c>
      <c r="O377" s="21">
        <v>11351828</v>
      </c>
      <c r="P377" s="21">
        <v>11351828</v>
      </c>
      <c r="Q377" s="21"/>
    </row>
    <row r="378" spans="1:17" x14ac:dyDescent="0.3">
      <c r="A378" s="13">
        <v>2025076944</v>
      </c>
      <c r="B378" s="13">
        <v>11224493</v>
      </c>
      <c r="C378" s="13" t="s">
        <v>8</v>
      </c>
      <c r="D378" s="13" t="s">
        <v>19</v>
      </c>
      <c r="E378" s="13">
        <v>1024593276</v>
      </c>
      <c r="F378" s="13">
        <v>27068</v>
      </c>
      <c r="G378" s="13" t="s">
        <v>10</v>
      </c>
      <c r="H378" s="13">
        <v>2070</v>
      </c>
      <c r="I378" s="14">
        <v>1400000</v>
      </c>
      <c r="J378" s="21"/>
      <c r="K378" s="21"/>
      <c r="L378" s="21"/>
      <c r="M378" s="21" t="e">
        <f>VLOOKUP(B:B,#REF!,1,0)</f>
        <v>#REF!</v>
      </c>
      <c r="N378" s="21">
        <v>11224493</v>
      </c>
      <c r="O378" s="21">
        <v>11224493</v>
      </c>
      <c r="P378" s="21">
        <v>11224493</v>
      </c>
      <c r="Q378" s="21"/>
    </row>
    <row r="379" spans="1:17" x14ac:dyDescent="0.3">
      <c r="A379" s="13">
        <v>2025077563</v>
      </c>
      <c r="B379" s="13">
        <v>11590081</v>
      </c>
      <c r="C379" s="13" t="s">
        <v>8</v>
      </c>
      <c r="D379" s="13" t="s">
        <v>22</v>
      </c>
      <c r="E379" s="13">
        <v>1001116838</v>
      </c>
      <c r="F379" s="13">
        <v>27104</v>
      </c>
      <c r="G379" s="13" t="s">
        <v>10</v>
      </c>
      <c r="H379" s="13">
        <v>483</v>
      </c>
      <c r="I379" s="14">
        <v>1400000</v>
      </c>
      <c r="J379" s="52">
        <v>45922</v>
      </c>
      <c r="K379" s="21" t="s">
        <v>67</v>
      </c>
      <c r="L379" s="21"/>
      <c r="M379" s="21" t="e">
        <f>VLOOKUP(B:B,#REF!,1,0)</f>
        <v>#REF!</v>
      </c>
      <c r="N379" s="21">
        <v>11590081</v>
      </c>
      <c r="O379" s="21">
        <v>11590081</v>
      </c>
      <c r="P379" s="21" t="e">
        <v>#N/A</v>
      </c>
      <c r="Q379" s="21"/>
    </row>
    <row r="380" spans="1:17" x14ac:dyDescent="0.3">
      <c r="A380" s="13">
        <v>2025078695</v>
      </c>
      <c r="B380" s="13">
        <v>11543241</v>
      </c>
      <c r="C380" s="13" t="s">
        <v>8</v>
      </c>
      <c r="D380" s="13" t="s">
        <v>24</v>
      </c>
      <c r="E380" s="13">
        <v>1138074284</v>
      </c>
      <c r="F380" s="13">
        <v>27172</v>
      </c>
      <c r="G380" s="13" t="s">
        <v>10</v>
      </c>
      <c r="H380" s="13">
        <v>10937</v>
      </c>
      <c r="I380" s="14">
        <v>1400000</v>
      </c>
      <c r="J380" s="21"/>
      <c r="K380" s="21"/>
      <c r="L380" s="21"/>
      <c r="M380" s="21" t="e">
        <f>VLOOKUP(B:B,#REF!,1,0)</f>
        <v>#REF!</v>
      </c>
      <c r="N380" s="21">
        <v>11543241</v>
      </c>
      <c r="O380" s="21">
        <v>11543241</v>
      </c>
      <c r="P380" s="21">
        <v>11543241</v>
      </c>
      <c r="Q380" s="21"/>
    </row>
    <row r="381" spans="1:17" x14ac:dyDescent="0.3">
      <c r="A381" s="13">
        <v>2025074091</v>
      </c>
      <c r="B381" s="13">
        <v>11260761</v>
      </c>
      <c r="C381" s="13" t="s">
        <v>8</v>
      </c>
      <c r="D381" s="13" t="s">
        <v>9</v>
      </c>
      <c r="E381" s="13">
        <v>1001275619</v>
      </c>
      <c r="F381" s="13">
        <v>27063</v>
      </c>
      <c r="G381" s="13" t="s">
        <v>10</v>
      </c>
      <c r="H381" s="13">
        <v>728</v>
      </c>
      <c r="I381" s="14">
        <v>1399000</v>
      </c>
      <c r="J381" s="21"/>
      <c r="K381" s="21"/>
      <c r="L381" s="21"/>
      <c r="M381" s="21" t="e">
        <f>VLOOKUP(B:B,#REF!,1,0)</f>
        <v>#REF!</v>
      </c>
      <c r="N381" s="21">
        <v>11260761</v>
      </c>
      <c r="O381" s="21">
        <v>11260761</v>
      </c>
      <c r="P381" s="21">
        <v>11260761</v>
      </c>
      <c r="Q381" s="21"/>
    </row>
    <row r="382" spans="1:17" x14ac:dyDescent="0.3">
      <c r="A382" s="13">
        <v>2025077113</v>
      </c>
      <c r="B382" s="13">
        <v>10887447</v>
      </c>
      <c r="C382" s="13" t="s">
        <v>8</v>
      </c>
      <c r="D382" s="13" t="s">
        <v>27</v>
      </c>
      <c r="E382" s="13">
        <v>1000218098</v>
      </c>
      <c r="F382" s="13">
        <v>26786</v>
      </c>
      <c r="G382" s="13" t="s">
        <v>10</v>
      </c>
      <c r="H382" s="13">
        <v>11307</v>
      </c>
      <c r="I382" s="14">
        <v>1396600</v>
      </c>
      <c r="J382" s="52">
        <v>45922</v>
      </c>
      <c r="K382" s="21" t="s">
        <v>67</v>
      </c>
      <c r="L382" s="21"/>
      <c r="M382" s="21" t="e">
        <f>VLOOKUP(B:B,#REF!,1,0)</f>
        <v>#REF!</v>
      </c>
      <c r="N382" s="21">
        <v>10887447</v>
      </c>
      <c r="O382" s="21">
        <v>10887447</v>
      </c>
      <c r="P382" s="21">
        <v>10887447</v>
      </c>
      <c r="Q382" s="21"/>
    </row>
    <row r="383" spans="1:17" x14ac:dyDescent="0.3">
      <c r="A383" s="13">
        <v>2025078639</v>
      </c>
      <c r="B383" s="13">
        <v>6740977</v>
      </c>
      <c r="C383" s="13" t="s">
        <v>8</v>
      </c>
      <c r="D383" s="13" t="s">
        <v>17</v>
      </c>
      <c r="E383" s="13">
        <v>1014284618</v>
      </c>
      <c r="F383" s="13">
        <v>27083</v>
      </c>
      <c r="G383" s="13" t="s">
        <v>10</v>
      </c>
      <c r="H383" s="13">
        <v>10807</v>
      </c>
      <c r="I383" s="14">
        <v>1394952</v>
      </c>
      <c r="J383" s="52">
        <v>45922</v>
      </c>
      <c r="K383" s="21" t="s">
        <v>67</v>
      </c>
      <c r="L383" s="21"/>
      <c r="M383" s="21" t="e">
        <f>VLOOKUP(B:B,#REF!,1,0)</f>
        <v>#REF!</v>
      </c>
      <c r="N383" s="21">
        <v>6740977</v>
      </c>
      <c r="O383" s="21">
        <v>6740977</v>
      </c>
      <c r="P383" s="21">
        <v>6740977</v>
      </c>
      <c r="Q383" s="21"/>
    </row>
    <row r="384" spans="1:17" x14ac:dyDescent="0.3">
      <c r="A384" s="13">
        <v>2025074758</v>
      </c>
      <c r="B384" s="13">
        <v>11073109</v>
      </c>
      <c r="C384" s="13" t="s">
        <v>8</v>
      </c>
      <c r="D384" s="13" t="s">
        <v>13</v>
      </c>
      <c r="E384" s="13">
        <v>52756032</v>
      </c>
      <c r="F384" s="13">
        <v>26668</v>
      </c>
      <c r="G384" s="13" t="s">
        <v>10</v>
      </c>
      <c r="H384" s="13">
        <v>429</v>
      </c>
      <c r="I384" s="14">
        <v>1367600</v>
      </c>
      <c r="J384" s="52">
        <v>45922</v>
      </c>
      <c r="K384" s="21" t="s">
        <v>67</v>
      </c>
      <c r="L384" s="21"/>
      <c r="M384" s="21" t="e">
        <f>VLOOKUP(B:B,#REF!,1,0)</f>
        <v>#REF!</v>
      </c>
      <c r="N384" s="21">
        <v>11073109</v>
      </c>
      <c r="O384" s="21">
        <v>11073109</v>
      </c>
      <c r="P384" s="21">
        <v>11073109</v>
      </c>
      <c r="Q384" s="21"/>
    </row>
    <row r="385" spans="1:17" x14ac:dyDescent="0.3">
      <c r="A385" s="13">
        <v>2025074931</v>
      </c>
      <c r="B385" s="13">
        <v>10037299</v>
      </c>
      <c r="C385" s="13" t="s">
        <v>8</v>
      </c>
      <c r="D385" s="13" t="s">
        <v>23</v>
      </c>
      <c r="E385" s="13">
        <v>1015449218</v>
      </c>
      <c r="F385" s="13">
        <v>24438</v>
      </c>
      <c r="G385" s="13" t="s">
        <v>10</v>
      </c>
      <c r="H385" s="13">
        <v>13327</v>
      </c>
      <c r="I385" s="14">
        <v>1365479</v>
      </c>
      <c r="J385" s="21"/>
      <c r="K385" s="21"/>
      <c r="L385" s="21"/>
      <c r="M385" s="21" t="e">
        <f>VLOOKUP(B:B,#REF!,1,0)</f>
        <v>#REF!</v>
      </c>
      <c r="N385" s="21">
        <v>10037299</v>
      </c>
      <c r="O385" s="21">
        <v>10037299</v>
      </c>
      <c r="P385" s="21">
        <v>10037299</v>
      </c>
      <c r="Q385" s="21"/>
    </row>
    <row r="386" spans="1:17" x14ac:dyDescent="0.3">
      <c r="A386" s="13">
        <v>2025073630</v>
      </c>
      <c r="B386" s="13">
        <v>10647596</v>
      </c>
      <c r="C386" s="13" t="s">
        <v>8</v>
      </c>
      <c r="D386" s="13" t="s">
        <v>14</v>
      </c>
      <c r="E386" s="13">
        <v>1033685482</v>
      </c>
      <c r="F386" s="13">
        <v>24441</v>
      </c>
      <c r="G386" s="13" t="s">
        <v>10</v>
      </c>
      <c r="H386" s="13">
        <v>12555</v>
      </c>
      <c r="I386" s="14">
        <v>1350000</v>
      </c>
      <c r="J386" s="21"/>
      <c r="K386" s="21"/>
      <c r="L386" s="21"/>
      <c r="M386" s="21" t="e">
        <f>VLOOKUP(B:B,#REF!,1,0)</f>
        <v>#REF!</v>
      </c>
      <c r="N386" s="21">
        <v>10647596</v>
      </c>
      <c r="O386" s="21">
        <v>10647596</v>
      </c>
      <c r="P386" s="21">
        <v>10647596</v>
      </c>
      <c r="Q386" s="21"/>
    </row>
    <row r="387" spans="1:17" x14ac:dyDescent="0.3">
      <c r="A387" s="13">
        <v>2025072913</v>
      </c>
      <c r="B387" s="13">
        <v>7412867</v>
      </c>
      <c r="C387" s="13" t="s">
        <v>8</v>
      </c>
      <c r="D387" s="13" t="s">
        <v>15</v>
      </c>
      <c r="E387" s="13">
        <v>1012434013</v>
      </c>
      <c r="F387" s="13">
        <v>26735</v>
      </c>
      <c r="G387" s="13" t="s">
        <v>10</v>
      </c>
      <c r="H387" s="13">
        <v>97</v>
      </c>
      <c r="I387" s="14">
        <v>1300458</v>
      </c>
      <c r="J387" s="21"/>
      <c r="K387" s="21"/>
      <c r="L387" s="21"/>
      <c r="M387" s="21" t="e">
        <f>VLOOKUP(B:B,#REF!,1,0)</f>
        <v>#REF!</v>
      </c>
      <c r="N387" s="21">
        <v>7412867</v>
      </c>
      <c r="O387" s="21">
        <v>7412867</v>
      </c>
      <c r="P387" s="21">
        <v>7412867</v>
      </c>
      <c r="Q387" s="21"/>
    </row>
    <row r="388" spans="1:17" x14ac:dyDescent="0.3">
      <c r="A388" s="13">
        <v>2025071940</v>
      </c>
      <c r="B388" s="13">
        <v>11222953</v>
      </c>
      <c r="C388" s="13" t="s">
        <v>8</v>
      </c>
      <c r="D388" s="13" t="s">
        <v>20</v>
      </c>
      <c r="E388" s="13">
        <v>52837437</v>
      </c>
      <c r="F388" s="13">
        <v>26730</v>
      </c>
      <c r="G388" s="13" t="s">
        <v>10</v>
      </c>
      <c r="H388" s="13">
        <v>970</v>
      </c>
      <c r="I388" s="14">
        <v>1300000</v>
      </c>
      <c r="J388" s="21"/>
      <c r="K388" s="21"/>
      <c r="L388" s="21"/>
      <c r="M388" s="21" t="e">
        <f>VLOOKUP(B:B,#REF!,1,0)</f>
        <v>#REF!</v>
      </c>
      <c r="N388" s="21">
        <v>11222953</v>
      </c>
      <c r="O388" s="21">
        <v>11222953</v>
      </c>
      <c r="P388" s="21">
        <v>11222953</v>
      </c>
      <c r="Q388" s="21"/>
    </row>
    <row r="389" spans="1:17" x14ac:dyDescent="0.3">
      <c r="A389" s="13">
        <v>2025075787</v>
      </c>
      <c r="B389" s="13">
        <v>11315915</v>
      </c>
      <c r="C389" s="13" t="s">
        <v>8</v>
      </c>
      <c r="D389" s="13" t="s">
        <v>21</v>
      </c>
      <c r="E389" s="13">
        <v>1000727404</v>
      </c>
      <c r="F389" s="13">
        <v>24436</v>
      </c>
      <c r="G389" s="13" t="s">
        <v>10</v>
      </c>
      <c r="H389" s="13">
        <v>10670</v>
      </c>
      <c r="I389" s="14">
        <v>1300000</v>
      </c>
      <c r="J389" s="21"/>
      <c r="K389" s="21"/>
      <c r="L389" s="21"/>
      <c r="M389" s="21" t="e">
        <f>VLOOKUP(B:B,#REF!,1,0)</f>
        <v>#REF!</v>
      </c>
      <c r="N389" s="21">
        <v>11315915</v>
      </c>
      <c r="O389" s="21">
        <v>11315915</v>
      </c>
      <c r="P389" s="21">
        <v>11315915</v>
      </c>
      <c r="Q389" s="21"/>
    </row>
    <row r="390" spans="1:17" x14ac:dyDescent="0.3">
      <c r="A390" s="13">
        <v>2025080479</v>
      </c>
      <c r="B390" s="13">
        <v>7742452</v>
      </c>
      <c r="C390" s="13" t="s">
        <v>8</v>
      </c>
      <c r="D390" s="13" t="s">
        <v>25</v>
      </c>
      <c r="E390" s="13">
        <v>1002525594</v>
      </c>
      <c r="F390" s="13">
        <v>26731</v>
      </c>
      <c r="G390" s="13" t="s">
        <v>10</v>
      </c>
      <c r="H390" s="13">
        <v>12604</v>
      </c>
      <c r="I390" s="14">
        <v>1300000</v>
      </c>
      <c r="J390" s="21"/>
      <c r="K390" s="21"/>
      <c r="L390" s="21"/>
      <c r="M390" s="21" t="e">
        <f>VLOOKUP(B:B,#REF!,1,0)</f>
        <v>#REF!</v>
      </c>
      <c r="N390" s="21">
        <v>7742452</v>
      </c>
      <c r="O390" s="21">
        <v>7742452</v>
      </c>
      <c r="P390" s="21">
        <v>7742452</v>
      </c>
      <c r="Q390" s="21"/>
    </row>
    <row r="391" spans="1:17" x14ac:dyDescent="0.3">
      <c r="A391" s="13">
        <v>2025072690</v>
      </c>
      <c r="B391" s="13">
        <v>10661152</v>
      </c>
      <c r="C391" s="13" t="s">
        <v>8</v>
      </c>
      <c r="D391" s="13" t="s">
        <v>65</v>
      </c>
      <c r="E391" s="13">
        <v>1000338067</v>
      </c>
      <c r="F391" s="13">
        <v>24433</v>
      </c>
      <c r="G391" s="13" t="s">
        <v>10</v>
      </c>
      <c r="H391" s="13">
        <v>12566</v>
      </c>
      <c r="I391" s="14">
        <v>1256200</v>
      </c>
      <c r="J391" s="21"/>
      <c r="K391" s="21"/>
      <c r="L391" s="21"/>
      <c r="M391" s="21" t="e">
        <f>VLOOKUP(B:B,#REF!,1,0)</f>
        <v>#REF!</v>
      </c>
      <c r="N391" s="21">
        <v>10661152</v>
      </c>
      <c r="O391" s="21">
        <v>10661152</v>
      </c>
      <c r="P391" s="21">
        <v>10661152</v>
      </c>
      <c r="Q391" s="21"/>
    </row>
    <row r="392" spans="1:17" x14ac:dyDescent="0.3">
      <c r="A392" s="13">
        <v>2025075795</v>
      </c>
      <c r="B392" s="13">
        <v>6990526</v>
      </c>
      <c r="C392" s="13" t="s">
        <v>8</v>
      </c>
      <c r="D392" s="13" t="s">
        <v>26</v>
      </c>
      <c r="E392" s="13">
        <v>1018439309</v>
      </c>
      <c r="F392" s="13">
        <v>23384</v>
      </c>
      <c r="G392" s="13" t="s">
        <v>10</v>
      </c>
      <c r="H392" s="13">
        <v>13323</v>
      </c>
      <c r="I392" s="14">
        <v>1255800</v>
      </c>
      <c r="J392" s="21"/>
      <c r="K392" s="21"/>
      <c r="L392" s="21"/>
      <c r="M392" s="21" t="e">
        <f>VLOOKUP(B:B,#REF!,1,0)</f>
        <v>#REF!</v>
      </c>
      <c r="N392" s="21">
        <v>6990526</v>
      </c>
      <c r="O392" s="21">
        <v>6990526</v>
      </c>
      <c r="P392" s="21">
        <v>6990526</v>
      </c>
      <c r="Q392" s="21"/>
    </row>
    <row r="393" spans="1:17" x14ac:dyDescent="0.3">
      <c r="A393" s="13">
        <v>2025076395</v>
      </c>
      <c r="B393" s="13">
        <v>7182944</v>
      </c>
      <c r="C393" s="13" t="s">
        <v>8</v>
      </c>
      <c r="D393" s="13" t="s">
        <v>16</v>
      </c>
      <c r="E393" s="13">
        <v>1019115964</v>
      </c>
      <c r="F393" s="13">
        <v>23410</v>
      </c>
      <c r="G393" s="13" t="s">
        <v>10</v>
      </c>
      <c r="H393" s="13">
        <v>11193</v>
      </c>
      <c r="I393" s="14">
        <v>1236214</v>
      </c>
      <c r="J393" s="21"/>
      <c r="K393" s="21"/>
      <c r="L393" s="21"/>
      <c r="M393" s="21" t="e">
        <f>VLOOKUP(B:B,#REF!,1,0)</f>
        <v>#REF!</v>
      </c>
      <c r="N393" s="21">
        <v>7182944</v>
      </c>
      <c r="O393" s="21">
        <v>7182944</v>
      </c>
      <c r="P393" s="21">
        <v>7182944</v>
      </c>
      <c r="Q393" s="21"/>
    </row>
    <row r="394" spans="1:17" x14ac:dyDescent="0.3">
      <c r="A394" s="13">
        <v>2025071988</v>
      </c>
      <c r="B394" s="13">
        <v>11103034</v>
      </c>
      <c r="C394" s="13" t="s">
        <v>8</v>
      </c>
      <c r="D394" s="13" t="s">
        <v>18</v>
      </c>
      <c r="E394" s="13">
        <v>1032677388</v>
      </c>
      <c r="F394" s="13">
        <v>26623</v>
      </c>
      <c r="G394" s="13" t="s">
        <v>10</v>
      </c>
      <c r="H394" s="13">
        <v>12644</v>
      </c>
      <c r="I394" s="14">
        <v>1220400</v>
      </c>
      <c r="J394" s="21"/>
      <c r="K394" s="21"/>
      <c r="L394" s="21"/>
      <c r="M394" s="21" t="e">
        <f>VLOOKUP(B:B,#REF!,1,0)</f>
        <v>#REF!</v>
      </c>
      <c r="N394" s="21">
        <v>11103034</v>
      </c>
      <c r="O394" s="21">
        <v>11103034</v>
      </c>
      <c r="P394" s="21">
        <v>11103034</v>
      </c>
      <c r="Q394" s="21"/>
    </row>
    <row r="395" spans="1:17" x14ac:dyDescent="0.3">
      <c r="A395" s="13">
        <v>2025073904</v>
      </c>
      <c r="B395" s="13">
        <v>10847870</v>
      </c>
      <c r="C395" s="13" t="s">
        <v>8</v>
      </c>
      <c r="D395" s="13" t="s">
        <v>22</v>
      </c>
      <c r="E395" s="13">
        <v>1001116838</v>
      </c>
      <c r="F395" s="13">
        <v>27104</v>
      </c>
      <c r="G395" s="13" t="s">
        <v>10</v>
      </c>
      <c r="H395" s="13">
        <v>11190</v>
      </c>
      <c r="I395" s="14">
        <v>1202000</v>
      </c>
      <c r="J395" s="52">
        <v>45922</v>
      </c>
      <c r="K395" s="21" t="s">
        <v>67</v>
      </c>
      <c r="L395" s="21"/>
      <c r="M395" s="21" t="e">
        <f>VLOOKUP(B:B,#REF!,1,0)</f>
        <v>#REF!</v>
      </c>
      <c r="N395" s="21">
        <v>10847870</v>
      </c>
      <c r="O395" s="21">
        <v>10847870</v>
      </c>
      <c r="P395" s="21" t="e">
        <v>#N/A</v>
      </c>
      <c r="Q395" s="21"/>
    </row>
    <row r="396" spans="1:17" x14ac:dyDescent="0.3">
      <c r="A396" s="13">
        <v>2025077902</v>
      </c>
      <c r="B396" s="13">
        <v>10241545</v>
      </c>
      <c r="C396" s="13" t="s">
        <v>8</v>
      </c>
      <c r="D396" s="13" t="s">
        <v>15</v>
      </c>
      <c r="E396" s="13">
        <v>1012434013</v>
      </c>
      <c r="F396" s="13">
        <v>26735</v>
      </c>
      <c r="G396" s="13" t="s">
        <v>10</v>
      </c>
      <c r="H396" s="13">
        <v>624</v>
      </c>
      <c r="I396" s="14">
        <v>1173263</v>
      </c>
      <c r="J396" s="21"/>
      <c r="K396" s="21"/>
      <c r="L396" s="21"/>
      <c r="M396" s="21" t="e">
        <f>VLOOKUP(B:B,#REF!,1,0)</f>
        <v>#REF!</v>
      </c>
      <c r="N396" s="21">
        <v>10241545</v>
      </c>
      <c r="O396" s="21">
        <v>10241545</v>
      </c>
      <c r="P396" s="21">
        <v>10241545</v>
      </c>
      <c r="Q396" s="21"/>
    </row>
    <row r="397" spans="1:17" x14ac:dyDescent="0.3">
      <c r="A397" s="13">
        <v>2025072012</v>
      </c>
      <c r="B397" s="13">
        <v>10809648</v>
      </c>
      <c r="C397" s="13" t="s">
        <v>28</v>
      </c>
      <c r="D397" s="13" t="s">
        <v>29</v>
      </c>
      <c r="E397" s="13">
        <v>1033684323</v>
      </c>
      <c r="F397" s="13">
        <v>24744</v>
      </c>
      <c r="G397" s="13" t="s">
        <v>10</v>
      </c>
      <c r="H397" s="13">
        <v>483</v>
      </c>
      <c r="I397" s="14">
        <v>1167550</v>
      </c>
      <c r="J397" s="21"/>
      <c r="K397" s="21"/>
      <c r="L397" s="21"/>
      <c r="M397" s="21" t="e">
        <f>VLOOKUP(B:B,#REF!,1,0)</f>
        <v>#REF!</v>
      </c>
      <c r="N397" s="21" t="e">
        <v>#N/A</v>
      </c>
      <c r="O397" s="21" t="e">
        <v>#N/A</v>
      </c>
      <c r="P397" s="21">
        <v>10809648</v>
      </c>
      <c r="Q397" s="21"/>
    </row>
    <row r="398" spans="1:17" x14ac:dyDescent="0.3">
      <c r="A398" s="13">
        <v>2025079501</v>
      </c>
      <c r="B398" s="13">
        <v>11584784</v>
      </c>
      <c r="C398" s="13" t="s">
        <v>8</v>
      </c>
      <c r="D398" s="13" t="s">
        <v>25</v>
      </c>
      <c r="E398" s="13">
        <v>1002525594</v>
      </c>
      <c r="F398" s="13">
        <v>26731</v>
      </c>
      <c r="G398" s="13" t="s">
        <v>10</v>
      </c>
      <c r="H398" s="13">
        <v>10657</v>
      </c>
      <c r="I398" s="14">
        <v>1160000</v>
      </c>
      <c r="J398" s="21"/>
      <c r="K398" s="21"/>
      <c r="L398" s="21"/>
      <c r="M398" s="21" t="e">
        <f>VLOOKUP(B:B,#REF!,1,0)</f>
        <v>#REF!</v>
      </c>
      <c r="N398" s="21">
        <v>11584784</v>
      </c>
      <c r="O398" s="21">
        <v>11584784</v>
      </c>
      <c r="P398" s="21">
        <v>11584784</v>
      </c>
      <c r="Q398" s="21"/>
    </row>
    <row r="399" spans="1:17" x14ac:dyDescent="0.3">
      <c r="A399" s="13">
        <v>2025076480</v>
      </c>
      <c r="B399" s="13">
        <v>6667155</v>
      </c>
      <c r="C399" s="13" t="s">
        <v>8</v>
      </c>
      <c r="D399" s="13" t="s">
        <v>21</v>
      </c>
      <c r="E399" s="13">
        <v>1000727404</v>
      </c>
      <c r="F399" s="13">
        <v>24436</v>
      </c>
      <c r="G399" s="13" t="s">
        <v>10</v>
      </c>
      <c r="H399" s="13">
        <v>11229</v>
      </c>
      <c r="I399" s="14">
        <v>1149000</v>
      </c>
      <c r="J399" s="52">
        <v>45922</v>
      </c>
      <c r="K399" s="21" t="s">
        <v>67</v>
      </c>
      <c r="L399" s="21"/>
      <c r="M399" s="21" t="e">
        <f>VLOOKUP(B:B,#REF!,1,0)</f>
        <v>#REF!</v>
      </c>
      <c r="N399" s="21">
        <v>6667155</v>
      </c>
      <c r="O399" s="21">
        <v>6667155</v>
      </c>
      <c r="P399" s="21">
        <v>6667155</v>
      </c>
      <c r="Q399" s="21"/>
    </row>
    <row r="400" spans="1:17" x14ac:dyDescent="0.3">
      <c r="A400" s="13">
        <v>2025074383</v>
      </c>
      <c r="B400" s="13">
        <v>7821743</v>
      </c>
      <c r="C400" s="13" t="s">
        <v>76</v>
      </c>
      <c r="D400" s="13" t="s">
        <v>29</v>
      </c>
      <c r="E400" s="13">
        <v>1033684323</v>
      </c>
      <c r="F400" s="13">
        <v>24744</v>
      </c>
      <c r="G400" s="13" t="s">
        <v>10</v>
      </c>
      <c r="H400" s="13">
        <v>149733</v>
      </c>
      <c r="I400" s="14">
        <v>1140000</v>
      </c>
      <c r="J400" s="21"/>
      <c r="K400" s="21"/>
      <c r="L400" s="21"/>
      <c r="M400" s="21" t="e">
        <f>VLOOKUP(B:B,#REF!,1,0)</f>
        <v>#REF!</v>
      </c>
      <c r="N400" s="21">
        <v>7821743</v>
      </c>
      <c r="O400" s="21" t="e">
        <v>#N/A</v>
      </c>
      <c r="P400" s="21">
        <v>7821743</v>
      </c>
      <c r="Q400" s="21"/>
    </row>
    <row r="401" spans="1:17" x14ac:dyDescent="0.3">
      <c r="A401" s="13">
        <v>2025078420</v>
      </c>
      <c r="B401" s="13">
        <v>6854012</v>
      </c>
      <c r="C401" s="13" t="s">
        <v>8</v>
      </c>
      <c r="D401" s="13" t="s">
        <v>20</v>
      </c>
      <c r="E401" s="13">
        <v>52837437</v>
      </c>
      <c r="F401" s="13">
        <v>26730</v>
      </c>
      <c r="G401" s="13" t="s">
        <v>10</v>
      </c>
      <c r="H401" s="13">
        <v>10413</v>
      </c>
      <c r="I401" s="14">
        <v>1104056</v>
      </c>
      <c r="J401" s="21"/>
      <c r="K401" s="21"/>
      <c r="L401" s="21"/>
      <c r="M401" s="21" t="e">
        <f>VLOOKUP(B:B,#REF!,1,0)</f>
        <v>#REF!</v>
      </c>
      <c r="N401" s="21">
        <v>6854012</v>
      </c>
      <c r="O401" s="21">
        <v>6854012</v>
      </c>
      <c r="P401" s="21">
        <v>6854012</v>
      </c>
      <c r="Q401" s="21"/>
    </row>
    <row r="402" spans="1:17" x14ac:dyDescent="0.3">
      <c r="A402" s="13">
        <v>2025072233</v>
      </c>
      <c r="B402" s="13">
        <v>11331929</v>
      </c>
      <c r="C402" s="13" t="s">
        <v>8</v>
      </c>
      <c r="D402" s="13" t="s">
        <v>17</v>
      </c>
      <c r="E402" s="13">
        <v>1014284618</v>
      </c>
      <c r="F402" s="13">
        <v>27083</v>
      </c>
      <c r="G402" s="13" t="s">
        <v>10</v>
      </c>
      <c r="H402" s="13">
        <v>13573</v>
      </c>
      <c r="I402" s="14">
        <v>1100000</v>
      </c>
      <c r="J402" s="21"/>
      <c r="K402" s="21"/>
      <c r="L402" s="21"/>
      <c r="M402" s="21" t="e">
        <f>VLOOKUP(B:B,#REF!,1,0)</f>
        <v>#REF!</v>
      </c>
      <c r="N402" s="21">
        <v>11331929</v>
      </c>
      <c r="O402" s="21">
        <v>11331929</v>
      </c>
      <c r="P402" s="21">
        <v>11331929</v>
      </c>
      <c r="Q402" s="21"/>
    </row>
    <row r="403" spans="1:17" x14ac:dyDescent="0.3">
      <c r="A403" s="13">
        <v>2025077829</v>
      </c>
      <c r="B403" s="13">
        <v>11271240</v>
      </c>
      <c r="C403" s="13" t="s">
        <v>8</v>
      </c>
      <c r="D403" s="13" t="s">
        <v>27</v>
      </c>
      <c r="E403" s="13">
        <v>1000218098</v>
      </c>
      <c r="F403" s="13">
        <v>26786</v>
      </c>
      <c r="G403" s="13" t="s">
        <v>10</v>
      </c>
      <c r="H403" s="13">
        <v>483</v>
      </c>
      <c r="I403" s="14">
        <v>1100000</v>
      </c>
      <c r="J403" s="21"/>
      <c r="K403" s="21"/>
      <c r="L403" s="21"/>
      <c r="M403" s="21" t="e">
        <f>VLOOKUP(B:B,#REF!,1,0)</f>
        <v>#REF!</v>
      </c>
      <c r="N403" s="21">
        <v>11271240</v>
      </c>
      <c r="O403" s="21">
        <v>11271240</v>
      </c>
      <c r="P403" s="21">
        <v>11271240</v>
      </c>
      <c r="Q403" s="21"/>
    </row>
    <row r="404" spans="1:17" x14ac:dyDescent="0.3">
      <c r="A404" s="13">
        <v>2025078929</v>
      </c>
      <c r="B404" s="13">
        <v>11228963</v>
      </c>
      <c r="C404" s="13" t="s">
        <v>8</v>
      </c>
      <c r="D404" s="13" t="s">
        <v>24</v>
      </c>
      <c r="E404" s="13">
        <v>1138074284</v>
      </c>
      <c r="F404" s="13">
        <v>27172</v>
      </c>
      <c r="G404" s="13" t="s">
        <v>10</v>
      </c>
      <c r="H404" s="13">
        <v>1911</v>
      </c>
      <c r="I404" s="14">
        <v>1100000</v>
      </c>
      <c r="J404" s="21"/>
      <c r="K404" s="21"/>
      <c r="L404" s="21"/>
      <c r="M404" s="21" t="e">
        <f>VLOOKUP(B:B,#REF!,1,0)</f>
        <v>#REF!</v>
      </c>
      <c r="N404" s="21">
        <v>11228963</v>
      </c>
      <c r="O404" s="21">
        <v>11228963</v>
      </c>
      <c r="P404" s="21">
        <v>11228963</v>
      </c>
      <c r="Q404" s="21"/>
    </row>
    <row r="405" spans="1:17" x14ac:dyDescent="0.3">
      <c r="A405" s="13">
        <v>2025079347</v>
      </c>
      <c r="B405" s="13">
        <v>10235429</v>
      </c>
      <c r="C405" s="13" t="s">
        <v>8</v>
      </c>
      <c r="D405" s="13" t="s">
        <v>11</v>
      </c>
      <c r="E405" s="13">
        <v>1016106935</v>
      </c>
      <c r="F405" s="13">
        <v>27064</v>
      </c>
      <c r="G405" s="13" t="s">
        <v>10</v>
      </c>
      <c r="H405" s="13">
        <v>12677</v>
      </c>
      <c r="I405" s="14">
        <v>1095951</v>
      </c>
      <c r="J405" s="21"/>
      <c r="K405" s="21"/>
      <c r="L405" s="21"/>
      <c r="M405" s="21" t="e">
        <f>VLOOKUP(B:B,#REF!,1,0)</f>
        <v>#REF!</v>
      </c>
      <c r="N405" s="21">
        <v>10235429</v>
      </c>
      <c r="O405" s="21">
        <v>10235429</v>
      </c>
      <c r="P405" s="21">
        <v>10235429</v>
      </c>
      <c r="Q405" s="21"/>
    </row>
    <row r="406" spans="1:17" x14ac:dyDescent="0.3">
      <c r="A406" s="13">
        <v>2025076930</v>
      </c>
      <c r="B406" s="13">
        <v>10765497</v>
      </c>
      <c r="C406" s="13" t="s">
        <v>8</v>
      </c>
      <c r="D406" s="13" t="s">
        <v>9</v>
      </c>
      <c r="E406" s="13">
        <v>1001275619</v>
      </c>
      <c r="F406" s="13">
        <v>27063</v>
      </c>
      <c r="G406" s="13" t="s">
        <v>10</v>
      </c>
      <c r="H406" s="13">
        <v>13475</v>
      </c>
      <c r="I406" s="14">
        <v>1092800</v>
      </c>
      <c r="J406" s="21"/>
      <c r="K406" s="21"/>
      <c r="L406" s="21"/>
      <c r="M406" s="21" t="e">
        <f>VLOOKUP(B:B,#REF!,1,0)</f>
        <v>#REF!</v>
      </c>
      <c r="N406" s="21">
        <v>10765497</v>
      </c>
      <c r="O406" s="21">
        <v>10765497</v>
      </c>
      <c r="P406" s="21">
        <v>10765497</v>
      </c>
      <c r="Q406" s="21"/>
    </row>
    <row r="407" spans="1:17" x14ac:dyDescent="0.3">
      <c r="A407" s="13">
        <v>2025080587</v>
      </c>
      <c r="B407" s="13">
        <v>7666194</v>
      </c>
      <c r="C407" s="13" t="s">
        <v>8</v>
      </c>
      <c r="D407" s="13" t="s">
        <v>19</v>
      </c>
      <c r="E407" s="13">
        <v>1024593276</v>
      </c>
      <c r="F407" s="13">
        <v>27068</v>
      </c>
      <c r="G407" s="13" t="s">
        <v>10</v>
      </c>
      <c r="H407" s="13">
        <v>13010</v>
      </c>
      <c r="I407" s="14">
        <v>1092144</v>
      </c>
      <c r="J407" s="21"/>
      <c r="K407" s="21"/>
      <c r="L407" s="21"/>
      <c r="M407" s="21" t="e">
        <f>VLOOKUP(B:B,#REF!,1,0)</f>
        <v>#REF!</v>
      </c>
      <c r="N407" s="21">
        <v>7666194</v>
      </c>
      <c r="O407" s="21">
        <v>7666194</v>
      </c>
      <c r="P407" s="21">
        <v>7666194</v>
      </c>
      <c r="Q407" s="21"/>
    </row>
    <row r="408" spans="1:17" x14ac:dyDescent="0.3">
      <c r="A408" s="13">
        <v>2025071918</v>
      </c>
      <c r="B408" s="13">
        <v>11205670</v>
      </c>
      <c r="C408" s="13" t="s">
        <v>8</v>
      </c>
      <c r="D408" s="13" t="s">
        <v>65</v>
      </c>
      <c r="E408" s="13">
        <v>1000338067</v>
      </c>
      <c r="F408" s="13">
        <v>24433</v>
      </c>
      <c r="G408" s="13" t="s">
        <v>10</v>
      </c>
      <c r="H408" s="13">
        <v>13037</v>
      </c>
      <c r="I408" s="14">
        <v>1052000</v>
      </c>
      <c r="J408" s="21"/>
      <c r="K408" s="21"/>
      <c r="L408" s="21"/>
      <c r="M408" s="21" t="e">
        <f>VLOOKUP(B:B,#REF!,1,0)</f>
        <v>#REF!</v>
      </c>
      <c r="N408" s="21">
        <v>11205670</v>
      </c>
      <c r="O408" s="21">
        <v>11205670</v>
      </c>
      <c r="P408" s="21">
        <v>11205670</v>
      </c>
      <c r="Q408" s="21"/>
    </row>
    <row r="409" spans="1:17" x14ac:dyDescent="0.3">
      <c r="A409" s="13">
        <v>2025076076</v>
      </c>
      <c r="B409" s="13">
        <v>11271005</v>
      </c>
      <c r="C409" s="13" t="s">
        <v>8</v>
      </c>
      <c r="D409" s="13" t="s">
        <v>26</v>
      </c>
      <c r="E409" s="13">
        <v>1018439309</v>
      </c>
      <c r="F409" s="13">
        <v>23384</v>
      </c>
      <c r="G409" s="13" t="s">
        <v>10</v>
      </c>
      <c r="H409" s="13">
        <v>13226</v>
      </c>
      <c r="I409" s="14">
        <v>1050000</v>
      </c>
      <c r="J409" s="52">
        <v>45922</v>
      </c>
      <c r="K409" s="21" t="s">
        <v>67</v>
      </c>
      <c r="L409" s="21"/>
      <c r="M409" s="21" t="e">
        <f>VLOOKUP(B:B,#REF!,1,0)</f>
        <v>#REF!</v>
      </c>
      <c r="N409" s="21">
        <v>11271005</v>
      </c>
      <c r="O409" s="21">
        <v>11271005</v>
      </c>
      <c r="P409" s="21">
        <v>11271005</v>
      </c>
      <c r="Q409" s="21"/>
    </row>
    <row r="410" spans="1:17" x14ac:dyDescent="0.3">
      <c r="A410" s="13">
        <v>2025076209</v>
      </c>
      <c r="B410" s="13">
        <v>10632839</v>
      </c>
      <c r="C410" s="13" t="s">
        <v>28</v>
      </c>
      <c r="D410" s="13" t="s">
        <v>34</v>
      </c>
      <c r="E410" s="13">
        <v>1014190282</v>
      </c>
      <c r="F410" s="13">
        <v>27166</v>
      </c>
      <c r="G410" s="13" t="s">
        <v>10</v>
      </c>
      <c r="H410" s="13">
        <v>10359</v>
      </c>
      <c r="I410" s="14">
        <v>1030400</v>
      </c>
      <c r="J410" s="21"/>
      <c r="K410" s="21"/>
      <c r="L410" s="21"/>
      <c r="M410" s="21" t="e">
        <f>VLOOKUP(B:B,#REF!,1,0)</f>
        <v>#REF!</v>
      </c>
      <c r="N410" s="21">
        <v>10632839</v>
      </c>
      <c r="O410" s="21">
        <v>10632839</v>
      </c>
      <c r="P410" s="21" t="e">
        <v>#N/A</v>
      </c>
      <c r="Q410" s="21"/>
    </row>
    <row r="411" spans="1:17" x14ac:dyDescent="0.3">
      <c r="A411" s="13">
        <v>2025080835</v>
      </c>
      <c r="B411" s="13">
        <v>10702352</v>
      </c>
      <c r="C411" s="13" t="s">
        <v>8</v>
      </c>
      <c r="D411" s="13" t="s">
        <v>14</v>
      </c>
      <c r="E411" s="13">
        <v>1033685482</v>
      </c>
      <c r="F411" s="13">
        <v>24441</v>
      </c>
      <c r="G411" s="13" t="s">
        <v>10</v>
      </c>
      <c r="H411" s="13">
        <v>655</v>
      </c>
      <c r="I411" s="14">
        <v>1022700</v>
      </c>
      <c r="J411" s="21"/>
      <c r="K411" s="21"/>
      <c r="L411" s="21"/>
      <c r="M411" s="21" t="e">
        <f>VLOOKUP(B:B,#REF!,1,0)</f>
        <v>#REF!</v>
      </c>
      <c r="N411" s="21">
        <v>10702352</v>
      </c>
      <c r="O411" s="21">
        <v>10702352</v>
      </c>
      <c r="P411" s="21">
        <v>10702352</v>
      </c>
      <c r="Q411" s="21"/>
    </row>
    <row r="412" spans="1:17" x14ac:dyDescent="0.3">
      <c r="A412" s="13">
        <v>2025071861</v>
      </c>
      <c r="B412" s="13">
        <v>11492638</v>
      </c>
      <c r="C412" s="13" t="s">
        <v>28</v>
      </c>
      <c r="D412" s="13" t="s">
        <v>32</v>
      </c>
      <c r="E412" s="13">
        <v>1002208098</v>
      </c>
      <c r="F412" s="13">
        <v>24462</v>
      </c>
      <c r="G412" s="13" t="s">
        <v>10</v>
      </c>
      <c r="H412" s="13">
        <v>13033</v>
      </c>
      <c r="I412" s="14">
        <v>1000000</v>
      </c>
      <c r="J412" s="21"/>
      <c r="K412" s="21"/>
      <c r="L412" s="21"/>
      <c r="M412" s="21" t="e">
        <f>VLOOKUP(B:B,#REF!,1,0)</f>
        <v>#REF!</v>
      </c>
      <c r="N412" s="21">
        <v>11492638</v>
      </c>
      <c r="O412" s="21" t="e">
        <v>#N/A</v>
      </c>
      <c r="P412" s="21">
        <v>11492638</v>
      </c>
      <c r="Q412" s="21"/>
    </row>
    <row r="413" spans="1:17" x14ac:dyDescent="0.3">
      <c r="A413" s="13">
        <v>2025071863</v>
      </c>
      <c r="B413" s="13">
        <v>7767968</v>
      </c>
      <c r="C413" s="13" t="s">
        <v>28</v>
      </c>
      <c r="D413" s="13" t="s">
        <v>32</v>
      </c>
      <c r="E413" s="13">
        <v>1002208098</v>
      </c>
      <c r="F413" s="13">
        <v>24462</v>
      </c>
      <c r="G413" s="13" t="s">
        <v>10</v>
      </c>
      <c r="H413" s="13">
        <v>13033</v>
      </c>
      <c r="I413" s="14">
        <v>1000000</v>
      </c>
      <c r="J413" s="21"/>
      <c r="K413" s="21"/>
      <c r="L413" s="21"/>
      <c r="M413" s="21" t="e">
        <f>VLOOKUP(B:B,#REF!,1,0)</f>
        <v>#REF!</v>
      </c>
      <c r="N413" s="21">
        <v>7767968</v>
      </c>
      <c r="O413" s="21" t="e">
        <v>#N/A</v>
      </c>
      <c r="P413" s="21">
        <v>7767968</v>
      </c>
      <c r="Q413" s="21"/>
    </row>
    <row r="414" spans="1:17" x14ac:dyDescent="0.3">
      <c r="A414" s="13">
        <v>2025071877</v>
      </c>
      <c r="B414" s="13">
        <v>6834900</v>
      </c>
      <c r="C414" s="13" t="s">
        <v>28</v>
      </c>
      <c r="D414" s="13" t="s">
        <v>29</v>
      </c>
      <c r="E414" s="13">
        <v>1033684323</v>
      </c>
      <c r="F414" s="13">
        <v>24744</v>
      </c>
      <c r="G414" s="13" t="s">
        <v>10</v>
      </c>
      <c r="H414" s="13">
        <v>13343</v>
      </c>
      <c r="I414" s="14">
        <v>1000000</v>
      </c>
      <c r="J414" s="21"/>
      <c r="K414" s="21"/>
      <c r="L414" s="21"/>
      <c r="M414" s="21" t="e">
        <f>VLOOKUP(B:B,#REF!,1,0)</f>
        <v>#REF!</v>
      </c>
      <c r="N414" s="21">
        <v>6834900</v>
      </c>
      <c r="O414" s="21">
        <v>6834900</v>
      </c>
      <c r="P414" s="21" t="e">
        <v>#N/A</v>
      </c>
      <c r="Q414" s="21"/>
    </row>
    <row r="415" spans="1:17" x14ac:dyDescent="0.3">
      <c r="A415" s="13">
        <v>2025072006</v>
      </c>
      <c r="B415" s="13">
        <v>10491963</v>
      </c>
      <c r="C415" s="13" t="s">
        <v>28</v>
      </c>
      <c r="D415" s="13" t="s">
        <v>29</v>
      </c>
      <c r="E415" s="13">
        <v>1033684323</v>
      </c>
      <c r="F415" s="13">
        <v>24744</v>
      </c>
      <c r="G415" s="13" t="s">
        <v>10</v>
      </c>
      <c r="H415" s="13">
        <v>483</v>
      </c>
      <c r="I415" s="14">
        <v>1000000</v>
      </c>
      <c r="J415" s="21"/>
      <c r="K415" s="21"/>
      <c r="L415" s="21"/>
      <c r="M415" s="21" t="e">
        <f>VLOOKUP(B:B,#REF!,1,0)</f>
        <v>#REF!</v>
      </c>
      <c r="N415" s="21">
        <v>10491963</v>
      </c>
      <c r="O415" s="21" t="e">
        <v>#N/A</v>
      </c>
      <c r="P415" s="21">
        <v>10491963</v>
      </c>
      <c r="Q415" s="21"/>
    </row>
    <row r="416" spans="1:17" x14ac:dyDescent="0.3">
      <c r="A416" s="13">
        <v>2025072020</v>
      </c>
      <c r="B416" s="13">
        <v>11081284</v>
      </c>
      <c r="C416" s="13" t="s">
        <v>28</v>
      </c>
      <c r="D416" s="13" t="s">
        <v>35</v>
      </c>
      <c r="E416" s="13">
        <v>1001216235</v>
      </c>
      <c r="F416" s="13">
        <v>25962</v>
      </c>
      <c r="G416" s="13" t="s">
        <v>10</v>
      </c>
      <c r="H416" s="13">
        <v>483</v>
      </c>
      <c r="I416" s="14">
        <v>1000000</v>
      </c>
      <c r="J416" s="21"/>
      <c r="K416" s="21"/>
      <c r="L416" s="21"/>
      <c r="M416" s="21" t="e">
        <f>VLOOKUP(B:B,#REF!,1,0)</f>
        <v>#REF!</v>
      </c>
      <c r="N416" s="21" t="e">
        <v>#N/A</v>
      </c>
      <c r="O416" s="21">
        <v>11081284</v>
      </c>
      <c r="P416" s="21" t="e">
        <v>#N/A</v>
      </c>
      <c r="Q416" s="21"/>
    </row>
    <row r="417" spans="1:17" x14ac:dyDescent="0.3">
      <c r="A417" s="13">
        <v>2025072028</v>
      </c>
      <c r="B417" s="13">
        <v>11175318</v>
      </c>
      <c r="C417" s="13" t="s">
        <v>8</v>
      </c>
      <c r="D417" s="13" t="s">
        <v>13</v>
      </c>
      <c r="E417" s="13">
        <v>52756032</v>
      </c>
      <c r="F417" s="13">
        <v>26668</v>
      </c>
      <c r="G417" s="13" t="s">
        <v>10</v>
      </c>
      <c r="H417" s="13">
        <v>937</v>
      </c>
      <c r="I417" s="14">
        <v>1000000</v>
      </c>
      <c r="J417" s="21"/>
      <c r="K417" s="21"/>
      <c r="L417" s="21"/>
      <c r="M417" s="21" t="e">
        <f>VLOOKUP(B:B,#REF!,1,0)</f>
        <v>#REF!</v>
      </c>
      <c r="N417" s="21">
        <v>11175318</v>
      </c>
      <c r="O417" s="21">
        <v>11175318</v>
      </c>
      <c r="P417" s="21">
        <v>11175318</v>
      </c>
      <c r="Q417" s="21"/>
    </row>
    <row r="418" spans="1:17" x14ac:dyDescent="0.3">
      <c r="A418" s="13">
        <v>2025072096</v>
      </c>
      <c r="B418" s="13">
        <v>6866469</v>
      </c>
      <c r="C418" s="13" t="s">
        <v>28</v>
      </c>
      <c r="D418" s="13" t="s">
        <v>29</v>
      </c>
      <c r="E418" s="13">
        <v>1033684323</v>
      </c>
      <c r="F418" s="13">
        <v>24744</v>
      </c>
      <c r="G418" s="13" t="s">
        <v>10</v>
      </c>
      <c r="H418" s="13">
        <v>11401</v>
      </c>
      <c r="I418" s="14">
        <v>1000000</v>
      </c>
      <c r="J418" s="21"/>
      <c r="K418" s="21"/>
      <c r="L418" s="21"/>
      <c r="M418" s="21" t="e">
        <f>VLOOKUP(B:B,#REF!,1,0)</f>
        <v>#REF!</v>
      </c>
      <c r="N418" s="21">
        <v>6866469</v>
      </c>
      <c r="O418" s="21" t="e">
        <v>#N/A</v>
      </c>
      <c r="P418" s="21">
        <v>6866469</v>
      </c>
      <c r="Q418" s="21"/>
    </row>
    <row r="419" spans="1:17" x14ac:dyDescent="0.3">
      <c r="A419" s="13">
        <v>2025072228</v>
      </c>
      <c r="B419" s="13">
        <v>11182321</v>
      </c>
      <c r="C419" s="13" t="s">
        <v>28</v>
      </c>
      <c r="D419" s="13" t="s">
        <v>56</v>
      </c>
      <c r="E419" s="13">
        <v>1000004978</v>
      </c>
      <c r="F419" s="13">
        <v>27203</v>
      </c>
      <c r="G419" s="13" t="s">
        <v>10</v>
      </c>
      <c r="H419" s="13">
        <v>13093</v>
      </c>
      <c r="I419" s="14">
        <v>1000000</v>
      </c>
      <c r="J419" s="21"/>
      <c r="K419" s="21"/>
      <c r="L419" s="21"/>
      <c r="M419" s="21" t="e">
        <f>VLOOKUP(B:B,#REF!,1,0)</f>
        <v>#REF!</v>
      </c>
      <c r="N419" s="21">
        <v>11182321</v>
      </c>
      <c r="O419" s="21" t="e">
        <v>#N/A</v>
      </c>
      <c r="P419" s="21">
        <v>11182321</v>
      </c>
      <c r="Q419" s="21"/>
    </row>
    <row r="420" spans="1:17" x14ac:dyDescent="0.3">
      <c r="A420" s="13">
        <v>2025072341</v>
      </c>
      <c r="B420" s="13">
        <v>7041752</v>
      </c>
      <c r="C420" s="13" t="s">
        <v>28</v>
      </c>
      <c r="D420" s="13" t="s">
        <v>55</v>
      </c>
      <c r="E420" s="13">
        <v>52879254</v>
      </c>
      <c r="F420" s="13">
        <v>27224</v>
      </c>
      <c r="G420" s="13" t="s">
        <v>10</v>
      </c>
      <c r="H420" s="13">
        <v>13304</v>
      </c>
      <c r="I420" s="14">
        <v>1000000</v>
      </c>
      <c r="J420" s="21"/>
      <c r="K420" s="21"/>
      <c r="L420" s="21"/>
      <c r="M420" s="21" t="e">
        <f>VLOOKUP(B:B,#REF!,1,0)</f>
        <v>#REF!</v>
      </c>
      <c r="N420" s="21">
        <v>7041752</v>
      </c>
      <c r="O420" s="21" t="e">
        <v>#N/A</v>
      </c>
      <c r="P420" s="21">
        <v>7041752</v>
      </c>
      <c r="Q420" s="21"/>
    </row>
    <row r="421" spans="1:17" x14ac:dyDescent="0.3">
      <c r="A421" s="13">
        <v>2025072565</v>
      </c>
      <c r="B421" s="13">
        <v>7161411</v>
      </c>
      <c r="C421" s="13" t="s">
        <v>28</v>
      </c>
      <c r="D421" s="13" t="s">
        <v>30</v>
      </c>
      <c r="E421" s="13">
        <v>1000620841</v>
      </c>
      <c r="F421" s="13">
        <v>27167</v>
      </c>
      <c r="G421" s="13" t="s">
        <v>10</v>
      </c>
      <c r="H421" s="13">
        <v>12566</v>
      </c>
      <c r="I421" s="14">
        <v>1000000</v>
      </c>
      <c r="J421" s="21"/>
      <c r="K421" s="21"/>
      <c r="L421" s="21"/>
      <c r="M421" s="21" t="e">
        <f>VLOOKUP(B:B,#REF!,1,0)</f>
        <v>#REF!</v>
      </c>
      <c r="N421" s="21">
        <v>7161411</v>
      </c>
      <c r="O421" s="21" t="e">
        <v>#N/A</v>
      </c>
      <c r="P421" s="21">
        <v>7161411</v>
      </c>
      <c r="Q421" s="21"/>
    </row>
    <row r="422" spans="1:17" x14ac:dyDescent="0.3">
      <c r="A422" s="13">
        <v>2025072816</v>
      </c>
      <c r="B422" s="13">
        <v>10075458</v>
      </c>
      <c r="C422" s="13" t="s">
        <v>28</v>
      </c>
      <c r="D422" s="13" t="s">
        <v>35</v>
      </c>
      <c r="E422" s="13">
        <v>1001216235</v>
      </c>
      <c r="F422" s="13">
        <v>25962</v>
      </c>
      <c r="G422" s="13" t="s">
        <v>10</v>
      </c>
      <c r="H422" s="13">
        <v>11055</v>
      </c>
      <c r="I422" s="14">
        <v>1000000</v>
      </c>
      <c r="J422" s="21"/>
      <c r="K422" s="21"/>
      <c r="L422" s="21"/>
      <c r="M422" s="21" t="e">
        <f>VLOOKUP(B:B,#REF!,1,0)</f>
        <v>#REF!</v>
      </c>
      <c r="N422" s="21">
        <v>10075458</v>
      </c>
      <c r="O422" s="21" t="e">
        <v>#N/A</v>
      </c>
      <c r="P422" s="21">
        <v>10075458</v>
      </c>
      <c r="Q422" s="21"/>
    </row>
    <row r="423" spans="1:17" x14ac:dyDescent="0.3">
      <c r="A423" s="13">
        <v>2025072954</v>
      </c>
      <c r="B423" s="13">
        <v>7518314</v>
      </c>
      <c r="C423" s="13" t="s">
        <v>28</v>
      </c>
      <c r="D423" s="13" t="s">
        <v>29</v>
      </c>
      <c r="E423" s="13">
        <v>1033684323</v>
      </c>
      <c r="F423" s="13">
        <v>24744</v>
      </c>
      <c r="G423" s="13" t="s">
        <v>10</v>
      </c>
      <c r="H423" s="13">
        <v>13542</v>
      </c>
      <c r="I423" s="14">
        <v>1000000</v>
      </c>
      <c r="J423" s="21"/>
      <c r="K423" s="21"/>
      <c r="L423" s="21"/>
      <c r="M423" s="21" t="e">
        <f>VLOOKUP(B:B,#REF!,1,0)</f>
        <v>#REF!</v>
      </c>
      <c r="N423" s="21">
        <v>7518314</v>
      </c>
      <c r="O423" s="21" t="e">
        <v>#N/A</v>
      </c>
      <c r="P423" s="21">
        <v>7518314</v>
      </c>
      <c r="Q423" s="21"/>
    </row>
    <row r="424" spans="1:17" x14ac:dyDescent="0.3">
      <c r="A424" s="13">
        <v>2025073258</v>
      </c>
      <c r="B424" s="13">
        <v>11114511</v>
      </c>
      <c r="C424" s="13" t="s">
        <v>28</v>
      </c>
      <c r="D424" s="13" t="s">
        <v>31</v>
      </c>
      <c r="E424" s="13">
        <v>1000250399</v>
      </c>
      <c r="F424" s="13">
        <v>27143</v>
      </c>
      <c r="G424" s="13" t="s">
        <v>10</v>
      </c>
      <c r="H424" s="13">
        <v>483</v>
      </c>
      <c r="I424" s="14">
        <v>1000000</v>
      </c>
      <c r="J424" s="21"/>
      <c r="K424" s="21"/>
      <c r="L424" s="21"/>
      <c r="M424" s="21" t="e">
        <f>VLOOKUP(B:B,#REF!,1,0)</f>
        <v>#REF!</v>
      </c>
      <c r="N424" s="21">
        <v>11114511</v>
      </c>
      <c r="O424" s="21" t="e">
        <v>#N/A</v>
      </c>
      <c r="P424" s="21">
        <v>11114511</v>
      </c>
      <c r="Q424" s="21"/>
    </row>
    <row r="425" spans="1:17" x14ac:dyDescent="0.3">
      <c r="A425" s="13">
        <v>2025073259</v>
      </c>
      <c r="B425" s="13">
        <v>11303726</v>
      </c>
      <c r="C425" s="13" t="s">
        <v>28</v>
      </c>
      <c r="D425" s="13" t="s">
        <v>32</v>
      </c>
      <c r="E425" s="13">
        <v>1002208098</v>
      </c>
      <c r="F425" s="13">
        <v>24462</v>
      </c>
      <c r="G425" s="13" t="s">
        <v>10</v>
      </c>
      <c r="H425" s="13">
        <v>483</v>
      </c>
      <c r="I425" s="14">
        <v>1000000</v>
      </c>
      <c r="J425" s="21"/>
      <c r="K425" s="21"/>
      <c r="L425" s="21"/>
      <c r="M425" s="21" t="e">
        <f>VLOOKUP(B:B,#REF!,1,0)</f>
        <v>#REF!</v>
      </c>
      <c r="N425" s="21">
        <v>11303726</v>
      </c>
      <c r="O425" s="21" t="e">
        <v>#N/A</v>
      </c>
      <c r="P425" s="21">
        <v>11303726</v>
      </c>
      <c r="Q425" s="21"/>
    </row>
    <row r="426" spans="1:17" x14ac:dyDescent="0.3">
      <c r="A426" s="13">
        <v>2025073277</v>
      </c>
      <c r="B426" s="13">
        <v>6586902</v>
      </c>
      <c r="C426" s="13" t="s">
        <v>8</v>
      </c>
      <c r="D426" s="13" t="s">
        <v>23</v>
      </c>
      <c r="E426" s="13">
        <v>1015449218</v>
      </c>
      <c r="F426" s="13">
        <v>24438</v>
      </c>
      <c r="G426" s="13" t="s">
        <v>10</v>
      </c>
      <c r="H426" s="13">
        <v>13150</v>
      </c>
      <c r="I426" s="14">
        <v>1000000</v>
      </c>
      <c r="J426" s="21"/>
      <c r="K426" s="21"/>
      <c r="L426" s="21"/>
      <c r="M426" s="21" t="e">
        <f>VLOOKUP(B:B,#REF!,1,0)</f>
        <v>#REF!</v>
      </c>
      <c r="N426" s="21">
        <v>6586902</v>
      </c>
      <c r="O426" s="21">
        <v>6586902</v>
      </c>
      <c r="P426" s="21">
        <v>6586902</v>
      </c>
      <c r="Q426" s="21"/>
    </row>
    <row r="427" spans="1:17" x14ac:dyDescent="0.3">
      <c r="A427" s="13">
        <v>2025073294</v>
      </c>
      <c r="B427" s="13">
        <v>11128996</v>
      </c>
      <c r="C427" s="13" t="s">
        <v>28</v>
      </c>
      <c r="D427" s="13" t="s">
        <v>55</v>
      </c>
      <c r="E427" s="13">
        <v>52879254</v>
      </c>
      <c r="F427" s="13">
        <v>27224</v>
      </c>
      <c r="G427" s="13" t="s">
        <v>10</v>
      </c>
      <c r="H427" s="13">
        <v>10335</v>
      </c>
      <c r="I427" s="14">
        <v>1000000</v>
      </c>
      <c r="J427" s="21"/>
      <c r="K427" s="21"/>
      <c r="L427" s="21"/>
      <c r="M427" s="21" t="e">
        <f>VLOOKUP(B:B,#REF!,1,0)</f>
        <v>#REF!</v>
      </c>
      <c r="N427" s="21">
        <v>11128996</v>
      </c>
      <c r="O427" s="21" t="e">
        <v>#N/A</v>
      </c>
      <c r="P427" s="21">
        <v>11128996</v>
      </c>
      <c r="Q427" s="21"/>
    </row>
    <row r="428" spans="1:17" x14ac:dyDescent="0.3">
      <c r="A428" s="13">
        <v>2025073525</v>
      </c>
      <c r="B428" s="13">
        <v>7600269</v>
      </c>
      <c r="C428" s="13" t="s">
        <v>28</v>
      </c>
      <c r="D428" s="13" t="s">
        <v>35</v>
      </c>
      <c r="E428" s="13">
        <v>1001216235</v>
      </c>
      <c r="F428" s="13">
        <v>25962</v>
      </c>
      <c r="G428" s="13" t="s">
        <v>10</v>
      </c>
      <c r="H428" s="13">
        <v>11003</v>
      </c>
      <c r="I428" s="14">
        <v>1000000</v>
      </c>
      <c r="J428" s="21"/>
      <c r="K428" s="21"/>
      <c r="L428" s="21"/>
      <c r="M428" s="21" t="e">
        <f>VLOOKUP(B:B,#REF!,1,0)</f>
        <v>#REF!</v>
      </c>
      <c r="N428" s="21">
        <v>7600269</v>
      </c>
      <c r="O428" s="21" t="e">
        <v>#N/A</v>
      </c>
      <c r="P428" s="21">
        <v>7600269</v>
      </c>
      <c r="Q428" s="21"/>
    </row>
    <row r="429" spans="1:17" x14ac:dyDescent="0.3">
      <c r="A429" s="13">
        <v>2025073549</v>
      </c>
      <c r="B429" s="13">
        <v>7658679</v>
      </c>
      <c r="C429" s="13" t="s">
        <v>28</v>
      </c>
      <c r="D429" s="13" t="s">
        <v>35</v>
      </c>
      <c r="E429" s="13">
        <v>1001216235</v>
      </c>
      <c r="F429" s="13">
        <v>25962</v>
      </c>
      <c r="G429" s="13" t="s">
        <v>10</v>
      </c>
      <c r="H429" s="13">
        <v>13327</v>
      </c>
      <c r="I429" s="14">
        <v>1000000</v>
      </c>
      <c r="J429" s="21"/>
      <c r="K429" s="21"/>
      <c r="L429" s="21"/>
      <c r="M429" s="21" t="e">
        <f>VLOOKUP(B:B,#REF!,1,0)</f>
        <v>#REF!</v>
      </c>
      <c r="N429" s="21">
        <v>7658679</v>
      </c>
      <c r="O429" s="21" t="e">
        <v>#N/A</v>
      </c>
      <c r="P429" s="21">
        <v>7658679</v>
      </c>
      <c r="Q429" s="21"/>
    </row>
    <row r="430" spans="1:17" x14ac:dyDescent="0.3">
      <c r="A430" s="13">
        <v>2025073610</v>
      </c>
      <c r="B430" s="13">
        <v>11222108</v>
      </c>
      <c r="C430" s="13" t="s">
        <v>8</v>
      </c>
      <c r="D430" s="13" t="s">
        <v>16</v>
      </c>
      <c r="E430" s="13">
        <v>1019115964</v>
      </c>
      <c r="F430" s="13">
        <v>23410</v>
      </c>
      <c r="G430" s="13" t="s">
        <v>10</v>
      </c>
      <c r="H430" s="13">
        <v>12555</v>
      </c>
      <c r="I430" s="14">
        <v>1000000</v>
      </c>
      <c r="J430" s="21"/>
      <c r="K430" s="21"/>
      <c r="L430" s="21"/>
      <c r="M430" s="21" t="e">
        <f>VLOOKUP(B:B,#REF!,1,0)</f>
        <v>#REF!</v>
      </c>
      <c r="N430" s="21">
        <v>11222108</v>
      </c>
      <c r="O430" s="21">
        <v>11222108</v>
      </c>
      <c r="P430" s="21">
        <v>11222108</v>
      </c>
      <c r="Q430" s="21"/>
    </row>
    <row r="431" spans="1:17" x14ac:dyDescent="0.3">
      <c r="A431" s="13">
        <v>2025073635</v>
      </c>
      <c r="B431" s="13">
        <v>10324818</v>
      </c>
      <c r="C431" s="13" t="s">
        <v>28</v>
      </c>
      <c r="D431" s="13" t="s">
        <v>32</v>
      </c>
      <c r="E431" s="13">
        <v>1002208098</v>
      </c>
      <c r="F431" s="13">
        <v>24462</v>
      </c>
      <c r="G431" s="13" t="s">
        <v>10</v>
      </c>
      <c r="H431" s="13">
        <v>13078</v>
      </c>
      <c r="I431" s="14">
        <v>1000000</v>
      </c>
      <c r="J431" s="21"/>
      <c r="K431" s="21"/>
      <c r="L431" s="21"/>
      <c r="M431" s="21" t="e">
        <f>VLOOKUP(B:B,#REF!,1,0)</f>
        <v>#REF!</v>
      </c>
      <c r="N431" s="21">
        <v>10324818</v>
      </c>
      <c r="O431" s="21" t="e">
        <v>#N/A</v>
      </c>
      <c r="P431" s="21">
        <v>10324818</v>
      </c>
      <c r="Q431" s="21"/>
    </row>
    <row r="432" spans="1:17" x14ac:dyDescent="0.3">
      <c r="A432" s="13">
        <v>2025073644</v>
      </c>
      <c r="B432" s="13">
        <v>10290313</v>
      </c>
      <c r="C432" s="13" t="s">
        <v>28</v>
      </c>
      <c r="D432" s="13" t="s">
        <v>29</v>
      </c>
      <c r="E432" s="13">
        <v>1033684323</v>
      </c>
      <c r="F432" s="13">
        <v>24744</v>
      </c>
      <c r="G432" s="13" t="s">
        <v>10</v>
      </c>
      <c r="H432" s="13">
        <v>13078</v>
      </c>
      <c r="I432" s="14">
        <v>1000000</v>
      </c>
      <c r="J432" s="21"/>
      <c r="K432" s="21"/>
      <c r="L432" s="21"/>
      <c r="M432" s="21" t="e">
        <f>VLOOKUP(B:B,#REF!,1,0)</f>
        <v>#REF!</v>
      </c>
      <c r="N432" s="21">
        <v>10290313</v>
      </c>
      <c r="O432" s="21" t="e">
        <v>#N/A</v>
      </c>
      <c r="P432" s="21">
        <v>10290313</v>
      </c>
      <c r="Q432" s="21"/>
    </row>
    <row r="433" spans="1:17" x14ac:dyDescent="0.3">
      <c r="A433" s="13">
        <v>2025073663</v>
      </c>
      <c r="B433" s="13">
        <v>11155194</v>
      </c>
      <c r="C433" s="13" t="s">
        <v>28</v>
      </c>
      <c r="D433" s="13" t="s">
        <v>32</v>
      </c>
      <c r="E433" s="13">
        <v>1002208098</v>
      </c>
      <c r="F433" s="13">
        <v>24462</v>
      </c>
      <c r="G433" s="13" t="s">
        <v>10</v>
      </c>
      <c r="H433" s="13">
        <v>13327</v>
      </c>
      <c r="I433" s="14">
        <v>1000000</v>
      </c>
      <c r="J433" s="21"/>
      <c r="K433" s="21"/>
      <c r="L433" s="21"/>
      <c r="M433" s="21" t="e">
        <f>VLOOKUP(B:B,#REF!,1,0)</f>
        <v>#REF!</v>
      </c>
      <c r="N433" s="21">
        <v>11155194</v>
      </c>
      <c r="O433" s="21" t="e">
        <v>#N/A</v>
      </c>
      <c r="P433" s="21">
        <v>11155194</v>
      </c>
      <c r="Q433" s="21"/>
    </row>
    <row r="434" spans="1:17" x14ac:dyDescent="0.3">
      <c r="A434" s="13">
        <v>2025074431</v>
      </c>
      <c r="B434" s="13">
        <v>7675308</v>
      </c>
      <c r="C434" s="13" t="s">
        <v>28</v>
      </c>
      <c r="D434" s="13" t="s">
        <v>56</v>
      </c>
      <c r="E434" s="13">
        <v>1000004978</v>
      </c>
      <c r="F434" s="13">
        <v>27203</v>
      </c>
      <c r="G434" s="13" t="s">
        <v>10</v>
      </c>
      <c r="H434" s="13">
        <v>13691</v>
      </c>
      <c r="I434" s="14">
        <v>1000000</v>
      </c>
      <c r="J434" s="21"/>
      <c r="K434" s="21"/>
      <c r="L434" s="21"/>
      <c r="M434" s="21" t="e">
        <f>VLOOKUP(B:B,#REF!,1,0)</f>
        <v>#REF!</v>
      </c>
      <c r="N434" s="21">
        <v>7675308</v>
      </c>
      <c r="O434" s="21" t="e">
        <v>#N/A</v>
      </c>
      <c r="P434" s="21">
        <v>7675308</v>
      </c>
      <c r="Q434" s="21"/>
    </row>
    <row r="435" spans="1:17" x14ac:dyDescent="0.3">
      <c r="A435" s="13">
        <v>2025075973</v>
      </c>
      <c r="B435" s="13">
        <v>6184862</v>
      </c>
      <c r="C435" s="13" t="s">
        <v>28</v>
      </c>
      <c r="D435" s="13" t="s">
        <v>29</v>
      </c>
      <c r="E435" s="13">
        <v>1033684323</v>
      </c>
      <c r="F435" s="13">
        <v>24744</v>
      </c>
      <c r="G435" s="13" t="s">
        <v>10</v>
      </c>
      <c r="H435" s="13">
        <v>13072</v>
      </c>
      <c r="I435" s="14">
        <v>1000000</v>
      </c>
      <c r="J435" s="21"/>
      <c r="K435" s="21"/>
      <c r="L435" s="21"/>
      <c r="M435" s="21" t="e">
        <f>VLOOKUP(B:B,#REF!,1,0)</f>
        <v>#REF!</v>
      </c>
      <c r="N435" s="21">
        <v>6184862</v>
      </c>
      <c r="O435" s="21" t="e">
        <v>#N/A</v>
      </c>
      <c r="P435" s="21">
        <v>6184862</v>
      </c>
      <c r="Q435" s="21"/>
    </row>
    <row r="436" spans="1:17" x14ac:dyDescent="0.3">
      <c r="A436" s="13">
        <v>2025076676</v>
      </c>
      <c r="B436" s="13">
        <v>10819687</v>
      </c>
      <c r="C436" s="13" t="s">
        <v>28</v>
      </c>
      <c r="D436" s="13" t="s">
        <v>30</v>
      </c>
      <c r="E436" s="13">
        <v>1000620841</v>
      </c>
      <c r="F436" s="13">
        <v>27167</v>
      </c>
      <c r="G436" s="13" t="s">
        <v>10</v>
      </c>
      <c r="H436" s="13">
        <v>10618</v>
      </c>
      <c r="I436" s="14">
        <v>1000000</v>
      </c>
      <c r="J436" s="21"/>
      <c r="K436" s="21"/>
      <c r="L436" s="21"/>
      <c r="M436" s="21" t="e">
        <f>VLOOKUP(B:B,#REF!,1,0)</f>
        <v>#REF!</v>
      </c>
      <c r="N436" s="21">
        <v>10819687</v>
      </c>
      <c r="O436" s="21" t="e">
        <v>#N/A</v>
      </c>
      <c r="P436" s="21">
        <v>10819687</v>
      </c>
      <c r="Q436" s="21"/>
    </row>
    <row r="437" spans="1:17" x14ac:dyDescent="0.3">
      <c r="A437" s="13">
        <v>2025077983</v>
      </c>
      <c r="B437" s="13">
        <v>11025009</v>
      </c>
      <c r="C437" s="13" t="s">
        <v>28</v>
      </c>
      <c r="D437" s="13" t="s">
        <v>32</v>
      </c>
      <c r="E437" s="13">
        <v>1002208098</v>
      </c>
      <c r="F437" s="13">
        <v>24462</v>
      </c>
      <c r="G437" s="13" t="s">
        <v>10</v>
      </c>
      <c r="H437" s="13">
        <v>13535</v>
      </c>
      <c r="I437" s="14">
        <v>1000000</v>
      </c>
      <c r="J437" s="21"/>
      <c r="K437" s="21"/>
      <c r="L437" s="21"/>
      <c r="M437" s="21" t="e">
        <f>VLOOKUP(B:B,#REF!,1,0)</f>
        <v>#REF!</v>
      </c>
      <c r="N437" s="21">
        <v>11025009</v>
      </c>
      <c r="O437" s="21">
        <v>11025009</v>
      </c>
      <c r="P437" s="21" t="e">
        <v>#N/A</v>
      </c>
      <c r="Q437" s="21"/>
    </row>
    <row r="438" spans="1:17" x14ac:dyDescent="0.3">
      <c r="A438" s="13">
        <v>2025079232</v>
      </c>
      <c r="B438" s="13">
        <v>7663733</v>
      </c>
      <c r="C438" s="13" t="s">
        <v>28</v>
      </c>
      <c r="D438" s="13" t="s">
        <v>55</v>
      </c>
      <c r="E438" s="13">
        <v>52879254</v>
      </c>
      <c r="F438" s="13">
        <v>27224</v>
      </c>
      <c r="G438" s="13" t="s">
        <v>10</v>
      </c>
      <c r="H438" s="13">
        <v>11469</v>
      </c>
      <c r="I438" s="14">
        <v>1000000</v>
      </c>
      <c r="J438" s="21"/>
      <c r="K438" s="21"/>
      <c r="L438" s="21"/>
      <c r="M438" s="21" t="e">
        <f>VLOOKUP(B:B,#REF!,1,0)</f>
        <v>#REF!</v>
      </c>
      <c r="N438" s="21">
        <v>7663733</v>
      </c>
      <c r="O438" s="21" t="e">
        <v>#N/A</v>
      </c>
      <c r="P438" s="21">
        <v>7663733</v>
      </c>
      <c r="Q438" s="21"/>
    </row>
    <row r="439" spans="1:17" x14ac:dyDescent="0.3">
      <c r="A439" s="13">
        <v>2025074057</v>
      </c>
      <c r="B439" s="13">
        <v>11041064</v>
      </c>
      <c r="C439" s="13" t="s">
        <v>8</v>
      </c>
      <c r="D439" s="13" t="s">
        <v>18</v>
      </c>
      <c r="E439" s="13">
        <v>1032677388</v>
      </c>
      <c r="F439" s="13">
        <v>26623</v>
      </c>
      <c r="G439" s="13" t="s">
        <v>10</v>
      </c>
      <c r="H439" s="13">
        <v>13150</v>
      </c>
      <c r="I439" s="14">
        <v>999400</v>
      </c>
      <c r="J439" s="52">
        <v>45922</v>
      </c>
      <c r="K439" s="21" t="s">
        <v>67</v>
      </c>
      <c r="L439" s="21"/>
      <c r="M439" s="21" t="e">
        <f>VLOOKUP(B:B,#REF!,1,0)</f>
        <v>#REF!</v>
      </c>
      <c r="N439" s="21">
        <v>11041064</v>
      </c>
      <c r="O439" s="21">
        <v>11041064</v>
      </c>
      <c r="P439" s="21">
        <v>11041064</v>
      </c>
      <c r="Q439" s="21"/>
    </row>
    <row r="440" spans="1:17" x14ac:dyDescent="0.3">
      <c r="A440" s="13">
        <v>2025072235</v>
      </c>
      <c r="B440" s="13">
        <v>11061081</v>
      </c>
      <c r="C440" s="13" t="s">
        <v>28</v>
      </c>
      <c r="D440" s="13" t="s">
        <v>34</v>
      </c>
      <c r="E440" s="13">
        <v>1014190282</v>
      </c>
      <c r="F440" s="13">
        <v>27166</v>
      </c>
      <c r="G440" s="13" t="s">
        <v>10</v>
      </c>
      <c r="H440" s="13">
        <v>14027</v>
      </c>
      <c r="I440" s="14">
        <v>999000</v>
      </c>
      <c r="J440" s="21"/>
      <c r="K440" s="21"/>
      <c r="L440" s="21"/>
      <c r="M440" s="21" t="e">
        <f>VLOOKUP(B:B,#REF!,1,0)</f>
        <v>#REF!</v>
      </c>
      <c r="N440" s="21">
        <v>11061081</v>
      </c>
      <c r="O440" s="21" t="e">
        <v>#N/A</v>
      </c>
      <c r="P440" s="21">
        <v>11061081</v>
      </c>
      <c r="Q440" s="21"/>
    </row>
    <row r="441" spans="1:17" x14ac:dyDescent="0.3">
      <c r="A441" s="13">
        <v>2025075952</v>
      </c>
      <c r="B441" s="13">
        <v>11104919</v>
      </c>
      <c r="C441" s="13" t="s">
        <v>8</v>
      </c>
      <c r="D441" s="13" t="s">
        <v>22</v>
      </c>
      <c r="E441" s="13">
        <v>1001116838</v>
      </c>
      <c r="F441" s="13">
        <v>27104</v>
      </c>
      <c r="G441" s="13" t="s">
        <v>10</v>
      </c>
      <c r="H441" s="13">
        <v>10754</v>
      </c>
      <c r="I441" s="14">
        <v>988880</v>
      </c>
      <c r="J441" s="21"/>
      <c r="K441" s="21"/>
      <c r="L441" s="21"/>
      <c r="M441" s="21" t="e">
        <f>VLOOKUP(B:B,#REF!,1,0)</f>
        <v>#REF!</v>
      </c>
      <c r="N441" s="21">
        <v>11104919</v>
      </c>
      <c r="O441" s="21">
        <v>11104919</v>
      </c>
      <c r="P441" s="21">
        <v>11104919</v>
      </c>
      <c r="Q441" s="21"/>
    </row>
    <row r="442" spans="1:17" x14ac:dyDescent="0.3">
      <c r="A442" s="13">
        <v>2025072008</v>
      </c>
      <c r="B442" s="13">
        <v>10614097</v>
      </c>
      <c r="C442" s="13" t="s">
        <v>8</v>
      </c>
      <c r="D442" s="13" t="s">
        <v>13</v>
      </c>
      <c r="E442" s="13">
        <v>52756032</v>
      </c>
      <c r="F442" s="13">
        <v>26668</v>
      </c>
      <c r="G442" s="13" t="s">
        <v>10</v>
      </c>
      <c r="H442" s="13">
        <v>483</v>
      </c>
      <c r="I442" s="14">
        <v>975000</v>
      </c>
      <c r="J442" s="21"/>
      <c r="K442" s="21"/>
      <c r="L442" s="21"/>
      <c r="M442" s="21" t="e">
        <f>VLOOKUP(B:B,#REF!,1,0)</f>
        <v>#REF!</v>
      </c>
      <c r="N442" s="21">
        <v>10614097</v>
      </c>
      <c r="O442" s="21">
        <v>10614097</v>
      </c>
      <c r="P442" s="21">
        <v>10614097</v>
      </c>
      <c r="Q442" s="21"/>
    </row>
    <row r="443" spans="1:17" x14ac:dyDescent="0.3">
      <c r="A443" s="13">
        <v>2025076677</v>
      </c>
      <c r="B443" s="13">
        <v>5670341</v>
      </c>
      <c r="C443" s="13" t="s">
        <v>8</v>
      </c>
      <c r="D443" s="13" t="s">
        <v>23</v>
      </c>
      <c r="E443" s="13">
        <v>1015449218</v>
      </c>
      <c r="F443" s="13">
        <v>24438</v>
      </c>
      <c r="G443" s="13" t="s">
        <v>10</v>
      </c>
      <c r="H443" s="13">
        <v>10335</v>
      </c>
      <c r="I443" s="14">
        <v>959459</v>
      </c>
      <c r="J443" s="21"/>
      <c r="K443" s="21"/>
      <c r="L443" s="21"/>
      <c r="M443" s="21" t="e">
        <f>VLOOKUP(B:B,#REF!,1,0)</f>
        <v>#REF!</v>
      </c>
      <c r="N443" s="21">
        <v>5670341</v>
      </c>
      <c r="O443" s="21">
        <v>5670341</v>
      </c>
      <c r="P443" s="21">
        <v>5670341</v>
      </c>
      <c r="Q443" s="21"/>
    </row>
    <row r="444" spans="1:17" x14ac:dyDescent="0.3">
      <c r="A444" s="13">
        <v>2025078312</v>
      </c>
      <c r="B444" s="13">
        <v>7755474</v>
      </c>
      <c r="C444" s="13" t="s">
        <v>8</v>
      </c>
      <c r="D444" s="13" t="s">
        <v>14</v>
      </c>
      <c r="E444" s="13">
        <v>1033685482</v>
      </c>
      <c r="F444" s="13">
        <v>24441</v>
      </c>
      <c r="G444" s="13" t="s">
        <v>10</v>
      </c>
      <c r="H444" s="13">
        <v>10792</v>
      </c>
      <c r="I444" s="14">
        <v>920000</v>
      </c>
      <c r="J444" s="21"/>
      <c r="K444" s="21"/>
      <c r="L444" s="21"/>
      <c r="M444" s="21" t="e">
        <f>VLOOKUP(B:B,#REF!,1,0)</f>
        <v>#REF!</v>
      </c>
      <c r="N444" s="21">
        <v>7755474</v>
      </c>
      <c r="O444" s="21">
        <v>7755474</v>
      </c>
      <c r="P444" s="21">
        <v>7755474</v>
      </c>
      <c r="Q444" s="21"/>
    </row>
    <row r="445" spans="1:17" x14ac:dyDescent="0.3">
      <c r="A445" s="13">
        <v>2025077203</v>
      </c>
      <c r="B445" s="13">
        <v>10518460</v>
      </c>
      <c r="C445" s="13" t="s">
        <v>28</v>
      </c>
      <c r="D445" s="13" t="s">
        <v>34</v>
      </c>
      <c r="E445" s="13">
        <v>1014190282</v>
      </c>
      <c r="F445" s="13">
        <v>27166</v>
      </c>
      <c r="G445" s="13" t="s">
        <v>10</v>
      </c>
      <c r="H445" s="13">
        <v>14027</v>
      </c>
      <c r="I445" s="14">
        <v>909675</v>
      </c>
      <c r="J445" s="21"/>
      <c r="K445" s="21"/>
      <c r="L445" s="21"/>
      <c r="M445" s="21" t="e">
        <f>VLOOKUP(B:B,#REF!,1,0)</f>
        <v>#REF!</v>
      </c>
      <c r="N445" s="21">
        <v>10518460</v>
      </c>
      <c r="O445" s="21" t="e">
        <v>#N/A</v>
      </c>
      <c r="P445" s="21">
        <v>10518460</v>
      </c>
      <c r="Q445" s="21"/>
    </row>
    <row r="446" spans="1:17" x14ac:dyDescent="0.3">
      <c r="A446" s="13">
        <v>2025077486</v>
      </c>
      <c r="B446" s="13">
        <v>6538653</v>
      </c>
      <c r="C446" s="13" t="s">
        <v>8</v>
      </c>
      <c r="D446" s="13" t="s">
        <v>26</v>
      </c>
      <c r="E446" s="13">
        <v>1018439309</v>
      </c>
      <c r="F446" s="13">
        <v>23384</v>
      </c>
      <c r="G446" s="13" t="s">
        <v>10</v>
      </c>
      <c r="H446" s="13">
        <v>13157</v>
      </c>
      <c r="I446" s="14">
        <v>896858</v>
      </c>
      <c r="J446" s="21"/>
      <c r="K446" s="21"/>
      <c r="L446" s="21"/>
      <c r="M446" s="21" t="e">
        <f>VLOOKUP(B:B,#REF!,1,0)</f>
        <v>#REF!</v>
      </c>
      <c r="N446" s="21">
        <v>6538653</v>
      </c>
      <c r="O446" s="21">
        <v>6538653</v>
      </c>
      <c r="P446" s="21">
        <v>6538653</v>
      </c>
      <c r="Q446" s="21"/>
    </row>
    <row r="447" spans="1:17" x14ac:dyDescent="0.3">
      <c r="A447" s="13">
        <v>2025071919</v>
      </c>
      <c r="B447" s="13">
        <v>10460022</v>
      </c>
      <c r="C447" s="13" t="s">
        <v>8</v>
      </c>
      <c r="D447" s="13" t="s">
        <v>65</v>
      </c>
      <c r="E447" s="13">
        <v>1000338067</v>
      </c>
      <c r="F447" s="13">
        <v>24433</v>
      </c>
      <c r="G447" s="13" t="s">
        <v>10</v>
      </c>
      <c r="H447" s="13">
        <v>13037</v>
      </c>
      <c r="I447" s="14">
        <v>891523</v>
      </c>
      <c r="J447" s="21"/>
      <c r="K447" s="21"/>
      <c r="L447" s="21"/>
      <c r="M447" s="21" t="e">
        <f>VLOOKUP(B:B,#REF!,1,0)</f>
        <v>#REF!</v>
      </c>
      <c r="N447" s="21">
        <v>10460022</v>
      </c>
      <c r="O447" s="21">
        <v>10460022</v>
      </c>
      <c r="P447" s="21">
        <v>10460022</v>
      </c>
      <c r="Q447" s="21"/>
    </row>
    <row r="448" spans="1:17" x14ac:dyDescent="0.3">
      <c r="A448" s="13">
        <v>2025076904</v>
      </c>
      <c r="B448" s="13">
        <v>11637387</v>
      </c>
      <c r="C448" s="13" t="s">
        <v>8</v>
      </c>
      <c r="D448" s="13" t="s">
        <v>9</v>
      </c>
      <c r="E448" s="13">
        <v>1001275619</v>
      </c>
      <c r="F448" s="13">
        <v>27063</v>
      </c>
      <c r="G448" s="13" t="s">
        <v>10</v>
      </c>
      <c r="H448" s="13">
        <v>12606</v>
      </c>
      <c r="I448" s="14">
        <v>850000</v>
      </c>
      <c r="J448" s="21"/>
      <c r="K448" s="21"/>
      <c r="L448" s="21"/>
      <c r="M448" s="21" t="e">
        <f>VLOOKUP(B:B,#REF!,1,0)</f>
        <v>#REF!</v>
      </c>
      <c r="N448" s="21">
        <v>11637387</v>
      </c>
      <c r="O448" s="21">
        <v>11637387</v>
      </c>
      <c r="P448" s="21">
        <v>11637387</v>
      </c>
      <c r="Q448" s="21"/>
    </row>
    <row r="449" spans="1:17" x14ac:dyDescent="0.3">
      <c r="A449" s="13">
        <v>2025072231</v>
      </c>
      <c r="B449" s="13">
        <v>11137503</v>
      </c>
      <c r="C449" s="13" t="s">
        <v>28</v>
      </c>
      <c r="D449" s="13" t="s">
        <v>34</v>
      </c>
      <c r="E449" s="13">
        <v>1014190282</v>
      </c>
      <c r="F449" s="13">
        <v>27166</v>
      </c>
      <c r="G449" s="13" t="s">
        <v>10</v>
      </c>
      <c r="H449" s="13">
        <v>13093</v>
      </c>
      <c r="I449" s="14">
        <v>846045</v>
      </c>
      <c r="J449" s="21"/>
      <c r="K449" s="21"/>
      <c r="L449" s="21"/>
      <c r="M449" s="21" t="e">
        <f>VLOOKUP(B:B,#REF!,1,0)</f>
        <v>#REF!</v>
      </c>
      <c r="N449" s="21">
        <v>11137503</v>
      </c>
      <c r="O449" s="21" t="e">
        <v>#N/A</v>
      </c>
      <c r="P449" s="21">
        <v>11137503</v>
      </c>
      <c r="Q449" s="21"/>
    </row>
    <row r="450" spans="1:17" x14ac:dyDescent="0.3">
      <c r="A450" s="13">
        <v>2025076410</v>
      </c>
      <c r="B450" s="13">
        <v>10659264</v>
      </c>
      <c r="C450" s="13" t="s">
        <v>8</v>
      </c>
      <c r="D450" s="13" t="s">
        <v>19</v>
      </c>
      <c r="E450" s="13">
        <v>1024593276</v>
      </c>
      <c r="F450" s="13">
        <v>27068</v>
      </c>
      <c r="G450" s="13" t="s">
        <v>10</v>
      </c>
      <c r="H450" s="13">
        <v>1702</v>
      </c>
      <c r="I450" s="14">
        <v>830530</v>
      </c>
      <c r="J450" s="52">
        <v>45924</v>
      </c>
      <c r="K450" s="21" t="s">
        <v>87</v>
      </c>
      <c r="L450" s="21"/>
      <c r="M450" s="21" t="e">
        <f>VLOOKUP(B:B,#REF!,1,0)</f>
        <v>#REF!</v>
      </c>
      <c r="N450" s="21">
        <v>10659264</v>
      </c>
      <c r="O450" s="21" t="e">
        <v>#N/A</v>
      </c>
      <c r="P450" s="21" t="e">
        <v>#N/A</v>
      </c>
      <c r="Q450" s="21"/>
    </row>
    <row r="451" spans="1:17" x14ac:dyDescent="0.3">
      <c r="A451" s="13">
        <v>2025075995</v>
      </c>
      <c r="B451" s="13">
        <v>10701905</v>
      </c>
      <c r="C451" s="13" t="s">
        <v>8</v>
      </c>
      <c r="D451" s="13" t="s">
        <v>24</v>
      </c>
      <c r="E451" s="13">
        <v>1138074284</v>
      </c>
      <c r="F451" s="13">
        <v>27172</v>
      </c>
      <c r="G451" s="13" t="s">
        <v>10</v>
      </c>
      <c r="H451" s="13">
        <v>1328</v>
      </c>
      <c r="I451" s="14">
        <v>828501</v>
      </c>
      <c r="J451" s="21"/>
      <c r="K451" s="21"/>
      <c r="L451" s="21"/>
      <c r="M451" s="21" t="e">
        <f>VLOOKUP(B:B,#REF!,1,0)</f>
        <v>#REF!</v>
      </c>
      <c r="N451" s="21">
        <v>10701905</v>
      </c>
      <c r="O451" s="21">
        <v>10701905</v>
      </c>
      <c r="P451" s="21">
        <v>10701905</v>
      </c>
      <c r="Q451" s="21"/>
    </row>
    <row r="452" spans="1:17" x14ac:dyDescent="0.3">
      <c r="A452" s="13">
        <v>2025080601</v>
      </c>
      <c r="B452" s="13">
        <v>11071822</v>
      </c>
      <c r="C452" s="13" t="s">
        <v>8</v>
      </c>
      <c r="D452" s="13" t="s">
        <v>11</v>
      </c>
      <c r="E452" s="13">
        <v>1016106935</v>
      </c>
      <c r="F452" s="13">
        <v>27064</v>
      </c>
      <c r="G452" s="13" t="s">
        <v>10</v>
      </c>
      <c r="H452" s="13">
        <v>11483</v>
      </c>
      <c r="I452" s="14">
        <v>820000</v>
      </c>
      <c r="J452" s="21"/>
      <c r="K452" s="21"/>
      <c r="L452" s="21"/>
      <c r="M452" s="21" t="e">
        <f>VLOOKUP(B:B,#REF!,1,0)</f>
        <v>#REF!</v>
      </c>
      <c r="N452" s="21">
        <v>11071822</v>
      </c>
      <c r="O452" s="21">
        <v>11071822</v>
      </c>
      <c r="P452" s="21">
        <v>11071822</v>
      </c>
      <c r="Q452" s="21"/>
    </row>
    <row r="453" spans="1:17" x14ac:dyDescent="0.3">
      <c r="A453" s="13">
        <v>2025072109</v>
      </c>
      <c r="B453" s="13">
        <v>10790013</v>
      </c>
      <c r="C453" s="13" t="s">
        <v>76</v>
      </c>
      <c r="D453" s="13" t="s">
        <v>31</v>
      </c>
      <c r="E453" s="13">
        <v>1000250399</v>
      </c>
      <c r="F453" s="13">
        <v>27143</v>
      </c>
      <c r="G453" s="13" t="s">
        <v>10</v>
      </c>
      <c r="H453" s="13">
        <v>11055</v>
      </c>
      <c r="I453" s="14">
        <v>818090</v>
      </c>
      <c r="J453" s="21"/>
      <c r="K453" s="21"/>
      <c r="L453" s="21"/>
      <c r="M453" s="21" t="e">
        <f>VLOOKUP(B:B,#REF!,1,0)</f>
        <v>#REF!</v>
      </c>
      <c r="N453" s="21">
        <v>10790013</v>
      </c>
      <c r="O453" s="21" t="e">
        <v>#N/A</v>
      </c>
      <c r="P453" s="21">
        <v>10790013</v>
      </c>
      <c r="Q453" s="21"/>
    </row>
    <row r="454" spans="1:17" x14ac:dyDescent="0.3">
      <c r="A454" s="13">
        <v>2025077827</v>
      </c>
      <c r="B454" s="13">
        <v>11674542</v>
      </c>
      <c r="C454" s="13" t="s">
        <v>8</v>
      </c>
      <c r="D454" s="13" t="s">
        <v>17</v>
      </c>
      <c r="E454" s="13">
        <v>1014284618</v>
      </c>
      <c r="F454" s="13">
        <v>27083</v>
      </c>
      <c r="G454" s="13" t="s">
        <v>10</v>
      </c>
      <c r="H454" s="13">
        <v>11043</v>
      </c>
      <c r="I454" s="14">
        <v>812300</v>
      </c>
      <c r="J454" s="52">
        <v>45922</v>
      </c>
      <c r="K454" s="21" t="s">
        <v>67</v>
      </c>
      <c r="L454" s="21"/>
      <c r="M454" s="21" t="e">
        <f>VLOOKUP(B:B,#REF!,1,0)</f>
        <v>#REF!</v>
      </c>
      <c r="N454" s="21">
        <v>11674542</v>
      </c>
      <c r="O454" s="21">
        <v>11674542</v>
      </c>
      <c r="P454" s="21">
        <v>11674542</v>
      </c>
      <c r="Q454" s="21"/>
    </row>
    <row r="455" spans="1:17" x14ac:dyDescent="0.3">
      <c r="A455" s="13">
        <v>2025079533</v>
      </c>
      <c r="B455" s="13">
        <v>10840420</v>
      </c>
      <c r="C455" s="13" t="s">
        <v>8</v>
      </c>
      <c r="D455" s="13" t="s">
        <v>27</v>
      </c>
      <c r="E455" s="13">
        <v>1000218098</v>
      </c>
      <c r="F455" s="13">
        <v>26786</v>
      </c>
      <c r="G455" s="13" t="s">
        <v>10</v>
      </c>
      <c r="H455" s="13">
        <v>1704</v>
      </c>
      <c r="I455" s="14">
        <v>809300</v>
      </c>
      <c r="J455" s="21"/>
      <c r="K455" s="21"/>
      <c r="L455" s="21"/>
      <c r="M455" s="21" t="e">
        <f>VLOOKUP(B:B,#REF!,1,0)</f>
        <v>#REF!</v>
      </c>
      <c r="N455" s="21">
        <v>10840420</v>
      </c>
      <c r="O455" s="21">
        <v>10840420</v>
      </c>
      <c r="P455" s="21">
        <v>10840420</v>
      </c>
      <c r="Q455" s="21"/>
    </row>
    <row r="456" spans="1:17" x14ac:dyDescent="0.3">
      <c r="A456" s="13">
        <v>2025073550</v>
      </c>
      <c r="B456" s="13">
        <v>10884420</v>
      </c>
      <c r="C456" s="13" t="s">
        <v>28</v>
      </c>
      <c r="D456" s="13" t="s">
        <v>31</v>
      </c>
      <c r="E456" s="13">
        <v>1000250399</v>
      </c>
      <c r="F456" s="13">
        <v>27143</v>
      </c>
      <c r="G456" s="13" t="s">
        <v>10</v>
      </c>
      <c r="H456" s="13">
        <v>10858</v>
      </c>
      <c r="I456" s="14">
        <v>802571</v>
      </c>
      <c r="J456" s="21"/>
      <c r="K456" s="21"/>
      <c r="L456" s="21"/>
      <c r="M456" s="21" t="e">
        <f>VLOOKUP(B:B,#REF!,1,0)</f>
        <v>#REF!</v>
      </c>
      <c r="N456" s="21">
        <v>10884420</v>
      </c>
      <c r="O456" s="21" t="e">
        <v>#N/A</v>
      </c>
      <c r="P456" s="21">
        <v>10884420</v>
      </c>
      <c r="Q456" s="21"/>
    </row>
    <row r="457" spans="1:17" x14ac:dyDescent="0.3">
      <c r="A457" s="13">
        <v>2025074159</v>
      </c>
      <c r="B457" s="13">
        <v>11121514</v>
      </c>
      <c r="C457" s="13" t="s">
        <v>8</v>
      </c>
      <c r="D457" s="13" t="s">
        <v>20</v>
      </c>
      <c r="E457" s="13">
        <v>52837437</v>
      </c>
      <c r="F457" s="13">
        <v>26730</v>
      </c>
      <c r="G457" s="13" t="s">
        <v>10</v>
      </c>
      <c r="H457" s="13">
        <v>10335</v>
      </c>
      <c r="I457" s="14">
        <v>801500</v>
      </c>
      <c r="J457" s="21"/>
      <c r="K457" s="21"/>
      <c r="L457" s="21"/>
      <c r="M457" s="21" t="e">
        <f>VLOOKUP(B:B,#REF!,1,0)</f>
        <v>#REF!</v>
      </c>
      <c r="N457" s="21">
        <v>11121514</v>
      </c>
      <c r="O457" s="21">
        <v>11121514</v>
      </c>
      <c r="P457" s="21">
        <v>11121514</v>
      </c>
      <c r="Q457" s="21"/>
    </row>
    <row r="458" spans="1:17" x14ac:dyDescent="0.3">
      <c r="A458" s="13">
        <v>2025074147</v>
      </c>
      <c r="B458" s="13">
        <v>7522337</v>
      </c>
      <c r="C458" s="13" t="s">
        <v>28</v>
      </c>
      <c r="D458" s="13" t="s">
        <v>34</v>
      </c>
      <c r="E458" s="13">
        <v>1014190282</v>
      </c>
      <c r="F458" s="13">
        <v>27166</v>
      </c>
      <c r="G458" s="13" t="s">
        <v>10</v>
      </c>
      <c r="H458" s="13">
        <v>13399</v>
      </c>
      <c r="I458" s="14">
        <v>800707</v>
      </c>
      <c r="J458" s="21"/>
      <c r="K458" s="21"/>
      <c r="L458" s="21"/>
      <c r="M458" s="21" t="e">
        <f>VLOOKUP(B:B,#REF!,1,0)</f>
        <v>#REF!</v>
      </c>
      <c r="N458" s="21">
        <v>7522337</v>
      </c>
      <c r="O458" s="21" t="e">
        <v>#N/A</v>
      </c>
      <c r="P458" s="21" t="e">
        <v>#N/A</v>
      </c>
      <c r="Q458" s="21"/>
    </row>
    <row r="459" spans="1:17" x14ac:dyDescent="0.3">
      <c r="A459" s="13">
        <v>2025077208</v>
      </c>
      <c r="B459" s="13">
        <v>11590422</v>
      </c>
      <c r="C459" s="13" t="s">
        <v>8</v>
      </c>
      <c r="D459" s="13" t="s">
        <v>21</v>
      </c>
      <c r="E459" s="13">
        <v>1000727404</v>
      </c>
      <c r="F459" s="13">
        <v>24436</v>
      </c>
      <c r="G459" s="13" t="s">
        <v>10</v>
      </c>
      <c r="H459" s="13">
        <v>2145</v>
      </c>
      <c r="I459" s="14">
        <v>800000</v>
      </c>
      <c r="J459" s="21"/>
      <c r="K459" s="21"/>
      <c r="L459" s="21"/>
      <c r="M459" s="21" t="e">
        <f>VLOOKUP(B:B,#REF!,1,0)</f>
        <v>#REF!</v>
      </c>
      <c r="N459" s="21" t="e">
        <v>#N/A</v>
      </c>
      <c r="O459" s="21">
        <v>11590422</v>
      </c>
      <c r="P459" s="21">
        <v>11590422</v>
      </c>
      <c r="Q459" s="21"/>
    </row>
    <row r="460" spans="1:17" x14ac:dyDescent="0.3">
      <c r="A460" s="13">
        <v>2025073535</v>
      </c>
      <c r="B460" s="13">
        <v>10287961</v>
      </c>
      <c r="C460" s="13" t="s">
        <v>28</v>
      </c>
      <c r="D460" s="13" t="s">
        <v>55</v>
      </c>
      <c r="E460" s="13">
        <v>52879254</v>
      </c>
      <c r="F460" s="13">
        <v>27224</v>
      </c>
      <c r="G460" s="13" t="s">
        <v>10</v>
      </c>
      <c r="H460" s="13">
        <v>13327</v>
      </c>
      <c r="I460" s="14">
        <v>739666</v>
      </c>
      <c r="J460" s="21"/>
      <c r="K460" s="21"/>
      <c r="L460" s="21"/>
      <c r="M460" s="21" t="e">
        <f>VLOOKUP(B:B,#REF!,1,0)</f>
        <v>#REF!</v>
      </c>
      <c r="N460" s="21">
        <v>10287961</v>
      </c>
      <c r="O460" s="21" t="e">
        <v>#N/A</v>
      </c>
      <c r="P460" s="21">
        <v>10287961</v>
      </c>
      <c r="Q460" s="21"/>
    </row>
    <row r="461" spans="1:17" x14ac:dyDescent="0.3">
      <c r="A461" s="13">
        <v>2025072259</v>
      </c>
      <c r="B461" s="13">
        <v>5490188</v>
      </c>
      <c r="C461" s="13" t="s">
        <v>8</v>
      </c>
      <c r="D461" s="13" t="s">
        <v>25</v>
      </c>
      <c r="E461" s="13">
        <v>1002525594</v>
      </c>
      <c r="F461" s="13">
        <v>26731</v>
      </c>
      <c r="G461" s="13" t="s">
        <v>10</v>
      </c>
      <c r="H461" s="13">
        <v>10474</v>
      </c>
      <c r="I461" s="14">
        <v>707850</v>
      </c>
      <c r="J461" s="21"/>
      <c r="K461" s="21"/>
      <c r="L461" s="21"/>
      <c r="M461" s="21" t="e">
        <f>VLOOKUP(B:B,#REF!,1,0)</f>
        <v>#REF!</v>
      </c>
      <c r="N461" s="21" t="e">
        <v>#N/A</v>
      </c>
      <c r="O461" s="21">
        <v>5490188</v>
      </c>
      <c r="P461" s="21">
        <v>5490188</v>
      </c>
      <c r="Q461" s="21"/>
    </row>
    <row r="462" spans="1:17" x14ac:dyDescent="0.3">
      <c r="A462" s="13">
        <v>2025072316</v>
      </c>
      <c r="B462" s="13">
        <v>10581047</v>
      </c>
      <c r="C462" s="13" t="s">
        <v>28</v>
      </c>
      <c r="D462" s="13" t="s">
        <v>32</v>
      </c>
      <c r="E462" s="13">
        <v>1002208098</v>
      </c>
      <c r="F462" s="13">
        <v>24462</v>
      </c>
      <c r="G462" s="13" t="s">
        <v>10</v>
      </c>
      <c r="H462" s="13">
        <v>1549</v>
      </c>
      <c r="I462" s="14">
        <v>658790</v>
      </c>
      <c r="J462" s="21"/>
      <c r="K462" s="21"/>
      <c r="L462" s="21"/>
      <c r="M462" s="21" t="e">
        <f>VLOOKUP(B:B,#REF!,1,0)</f>
        <v>#REF!</v>
      </c>
      <c r="N462" s="21" t="e">
        <v>#N/A</v>
      </c>
      <c r="O462" s="21">
        <v>10581047</v>
      </c>
      <c r="P462" s="21" t="e">
        <v>#N/A</v>
      </c>
      <c r="Q462" s="21"/>
    </row>
    <row r="463" spans="1:17" x14ac:dyDescent="0.3">
      <c r="A463" s="13">
        <v>2025080799</v>
      </c>
      <c r="B463" s="13">
        <v>7541369</v>
      </c>
      <c r="C463" s="13" t="s">
        <v>8</v>
      </c>
      <c r="D463" s="13" t="s">
        <v>15</v>
      </c>
      <c r="E463" s="13">
        <v>1012434013</v>
      </c>
      <c r="F463" s="13">
        <v>26735</v>
      </c>
      <c r="G463" s="13" t="s">
        <v>10</v>
      </c>
      <c r="H463" s="13">
        <v>814</v>
      </c>
      <c r="I463" s="14">
        <v>645870</v>
      </c>
      <c r="J463" s="21"/>
      <c r="K463" s="21"/>
      <c r="L463" s="21"/>
      <c r="M463" s="21" t="e">
        <f>VLOOKUP(B:B,#REF!,1,0)</f>
        <v>#REF!</v>
      </c>
      <c r="N463" s="21">
        <v>7541369</v>
      </c>
      <c r="O463" s="21">
        <v>7541369</v>
      </c>
      <c r="P463" s="21">
        <v>7541369</v>
      </c>
      <c r="Q463" s="21"/>
    </row>
    <row r="464" spans="1:17" x14ac:dyDescent="0.3">
      <c r="A464" s="13">
        <v>2025073955</v>
      </c>
      <c r="B464" s="13">
        <v>7189009</v>
      </c>
      <c r="C464" s="13" t="s">
        <v>8</v>
      </c>
      <c r="D464" s="13" t="s">
        <v>16</v>
      </c>
      <c r="E464" s="13">
        <v>1019115964</v>
      </c>
      <c r="F464" s="13">
        <v>23410</v>
      </c>
      <c r="G464" s="13" t="s">
        <v>10</v>
      </c>
      <c r="H464" s="13">
        <v>10526</v>
      </c>
      <c r="I464" s="14">
        <v>581362</v>
      </c>
      <c r="J464" s="21"/>
      <c r="K464" s="21"/>
      <c r="L464" s="21"/>
      <c r="M464" s="21" t="e">
        <f>VLOOKUP(B:B,#REF!,1,0)</f>
        <v>#REF!</v>
      </c>
      <c r="N464" s="21">
        <v>7189009</v>
      </c>
      <c r="O464" s="21">
        <v>7189009</v>
      </c>
      <c r="P464" s="21">
        <v>7189009</v>
      </c>
      <c r="Q464" s="21"/>
    </row>
    <row r="465" spans="1:17" x14ac:dyDescent="0.3">
      <c r="A465" s="13">
        <v>2025074971</v>
      </c>
      <c r="B465" s="13">
        <v>7645904</v>
      </c>
      <c r="C465" s="13" t="s">
        <v>8</v>
      </c>
      <c r="D465" s="13" t="s">
        <v>15</v>
      </c>
      <c r="E465" s="13">
        <v>1012434013</v>
      </c>
      <c r="F465" s="13">
        <v>26735</v>
      </c>
      <c r="G465" s="13" t="s">
        <v>10</v>
      </c>
      <c r="H465" s="13">
        <v>11146</v>
      </c>
      <c r="I465" s="14">
        <v>571021</v>
      </c>
      <c r="J465" s="21"/>
      <c r="K465" s="21"/>
      <c r="L465" s="21"/>
      <c r="M465" s="21" t="e">
        <f>VLOOKUP(B:B,#REF!,1,0)</f>
        <v>#REF!</v>
      </c>
      <c r="N465" s="21">
        <v>7645904</v>
      </c>
      <c r="O465" s="21">
        <v>7645904</v>
      </c>
      <c r="P465" s="21">
        <v>7645904</v>
      </c>
      <c r="Q465" s="21"/>
    </row>
    <row r="466" spans="1:17" x14ac:dyDescent="0.3">
      <c r="A466" s="13">
        <v>2025075362</v>
      </c>
      <c r="B466" s="13">
        <v>10635558</v>
      </c>
      <c r="C466" s="13" t="s">
        <v>8</v>
      </c>
      <c r="D466" s="13" t="s">
        <v>18</v>
      </c>
      <c r="E466" s="13">
        <v>1032677388</v>
      </c>
      <c r="F466" s="13">
        <v>26623</v>
      </c>
      <c r="G466" s="13" t="s">
        <v>10</v>
      </c>
      <c r="H466" s="13">
        <v>13142</v>
      </c>
      <c r="I466" s="14">
        <v>527456</v>
      </c>
      <c r="J466" s="21"/>
      <c r="K466" s="21"/>
      <c r="L466" s="21"/>
      <c r="M466" s="21" t="e">
        <f>VLOOKUP(B:B,#REF!,1,0)</f>
        <v>#REF!</v>
      </c>
      <c r="N466" s="21">
        <v>10635558</v>
      </c>
      <c r="O466" s="21">
        <v>10635558</v>
      </c>
      <c r="P466" s="21">
        <v>10635558</v>
      </c>
      <c r="Q466" s="21"/>
    </row>
    <row r="467" spans="1:17" x14ac:dyDescent="0.3">
      <c r="A467" s="13">
        <v>2025072275</v>
      </c>
      <c r="B467" s="13">
        <v>11119530</v>
      </c>
      <c r="C467" s="13" t="s">
        <v>28</v>
      </c>
      <c r="D467" s="13" t="s">
        <v>30</v>
      </c>
      <c r="E467" s="13">
        <v>1000620841</v>
      </c>
      <c r="F467" s="13">
        <v>27167</v>
      </c>
      <c r="G467" s="13" t="s">
        <v>10</v>
      </c>
      <c r="H467" s="13">
        <v>13093</v>
      </c>
      <c r="I467" s="14">
        <v>500854</v>
      </c>
      <c r="J467" s="21"/>
      <c r="K467" s="21"/>
      <c r="L467" s="21"/>
      <c r="M467" s="21" t="e">
        <f>VLOOKUP(B:B,#REF!,1,0)</f>
        <v>#REF!</v>
      </c>
      <c r="N467" s="21">
        <v>11119530</v>
      </c>
      <c r="O467" s="21" t="e">
        <v>#N/A</v>
      </c>
      <c r="P467" s="21">
        <v>11119530</v>
      </c>
      <c r="Q467" s="21"/>
    </row>
    <row r="468" spans="1:17" x14ac:dyDescent="0.3">
      <c r="A468" s="13">
        <v>2025077207</v>
      </c>
      <c r="B468" s="13">
        <v>7702014</v>
      </c>
      <c r="C468" s="13" t="s">
        <v>28</v>
      </c>
      <c r="D468" s="13" t="s">
        <v>30</v>
      </c>
      <c r="E468" s="13">
        <v>1000620841</v>
      </c>
      <c r="F468" s="13">
        <v>27167</v>
      </c>
      <c r="G468" s="13" t="s">
        <v>10</v>
      </c>
      <c r="H468" s="13">
        <v>12167</v>
      </c>
      <c r="I468" s="14">
        <v>500000</v>
      </c>
      <c r="J468" s="21"/>
      <c r="K468" s="21"/>
      <c r="L468" s="21"/>
      <c r="M468" s="21" t="e">
        <f>VLOOKUP(B:B,#REF!,1,0)</f>
        <v>#REF!</v>
      </c>
      <c r="N468" s="21">
        <v>7702014</v>
      </c>
      <c r="O468" s="21" t="e">
        <v>#N/A</v>
      </c>
      <c r="P468" s="21">
        <v>7702014</v>
      </c>
      <c r="Q468" s="21"/>
    </row>
    <row r="469" spans="1:17" x14ac:dyDescent="0.3">
      <c r="A469" s="13">
        <v>2025076670</v>
      </c>
      <c r="B469" s="13">
        <v>10908313</v>
      </c>
      <c r="C469" s="13" t="s">
        <v>28</v>
      </c>
      <c r="D469" s="13" t="s">
        <v>56</v>
      </c>
      <c r="E469" s="13">
        <v>1000004978</v>
      </c>
      <c r="F469" s="13">
        <v>27203</v>
      </c>
      <c r="G469" s="13" t="s">
        <v>10</v>
      </c>
      <c r="H469" s="13">
        <v>10618</v>
      </c>
      <c r="I469" s="14">
        <v>479554</v>
      </c>
      <c r="J469" s="21"/>
      <c r="K469" s="21"/>
      <c r="L469" s="21"/>
      <c r="M469" s="21" t="e">
        <f>VLOOKUP(B:B,#REF!,1,0)</f>
        <v>#REF!</v>
      </c>
      <c r="N469" s="21">
        <v>10908313</v>
      </c>
      <c r="O469" s="21" t="e">
        <v>#N/A</v>
      </c>
      <c r="P469" s="21">
        <v>10908313</v>
      </c>
      <c r="Q469" s="21"/>
    </row>
    <row r="470" spans="1:17" x14ac:dyDescent="0.3">
      <c r="A470" s="13">
        <v>2025078746</v>
      </c>
      <c r="B470" s="13">
        <v>10056133</v>
      </c>
      <c r="C470" s="13" t="s">
        <v>8</v>
      </c>
      <c r="D470" s="13" t="s">
        <v>25</v>
      </c>
      <c r="E470" s="13">
        <v>1002525594</v>
      </c>
      <c r="F470" s="13">
        <v>26731</v>
      </c>
      <c r="G470" s="13" t="s">
        <v>10</v>
      </c>
      <c r="H470" s="13">
        <v>12487</v>
      </c>
      <c r="I470" s="14">
        <v>477211</v>
      </c>
      <c r="J470" s="21"/>
      <c r="K470" s="21"/>
      <c r="L470" s="21"/>
      <c r="M470" s="21" t="e">
        <f>VLOOKUP(B:B,#REF!,1,0)</f>
        <v>#REF!</v>
      </c>
      <c r="N470" s="21">
        <v>10056133</v>
      </c>
      <c r="O470" s="21">
        <v>10056133</v>
      </c>
      <c r="P470" s="21">
        <v>10056133</v>
      </c>
      <c r="Q470" s="21"/>
    </row>
    <row r="471" spans="1:17" x14ac:dyDescent="0.3">
      <c r="A471" s="13">
        <v>2025072026</v>
      </c>
      <c r="B471" s="13">
        <v>7239459</v>
      </c>
      <c r="C471" s="13" t="s">
        <v>8</v>
      </c>
      <c r="D471" s="13" t="s">
        <v>20</v>
      </c>
      <c r="E471" s="13">
        <v>52837437</v>
      </c>
      <c r="F471" s="13">
        <v>26730</v>
      </c>
      <c r="G471" s="13" t="s">
        <v>10</v>
      </c>
      <c r="H471" s="13">
        <v>937</v>
      </c>
      <c r="I471" s="14">
        <v>450000</v>
      </c>
      <c r="J471" s="52">
        <v>45922</v>
      </c>
      <c r="K471" s="21" t="s">
        <v>67</v>
      </c>
      <c r="L471" s="21"/>
      <c r="M471" s="21" t="e">
        <f>VLOOKUP(B:B,#REF!,1,0)</f>
        <v>#REF!</v>
      </c>
      <c r="N471" s="21">
        <v>7239459</v>
      </c>
      <c r="O471" s="21">
        <v>7239459</v>
      </c>
      <c r="P471" s="21">
        <v>7239459</v>
      </c>
      <c r="Q471" s="21"/>
    </row>
    <row r="472" spans="1:17" x14ac:dyDescent="0.3">
      <c r="A472" s="13">
        <v>2025074574</v>
      </c>
      <c r="B472" s="13">
        <v>10971468</v>
      </c>
      <c r="C472" s="13" t="s">
        <v>28</v>
      </c>
      <c r="D472" s="13" t="s">
        <v>30</v>
      </c>
      <c r="E472" s="13">
        <v>1000620841</v>
      </c>
      <c r="F472" s="13">
        <v>27167</v>
      </c>
      <c r="G472" s="13" t="s">
        <v>10</v>
      </c>
      <c r="H472" s="13">
        <v>717</v>
      </c>
      <c r="I472" s="14">
        <v>446700</v>
      </c>
      <c r="J472" s="21"/>
      <c r="K472" s="21"/>
      <c r="L472" s="21"/>
      <c r="M472" s="21" t="e">
        <f>VLOOKUP(B:B,#REF!,1,0)</f>
        <v>#REF!</v>
      </c>
      <c r="N472" s="21">
        <v>10971468</v>
      </c>
      <c r="O472" s="21" t="e">
        <v>#N/A</v>
      </c>
      <c r="P472" s="21">
        <v>10971468</v>
      </c>
      <c r="Q472" s="21"/>
    </row>
    <row r="473" spans="1:17" x14ac:dyDescent="0.3">
      <c r="A473" s="13">
        <v>2025071869</v>
      </c>
      <c r="B473" s="13">
        <v>7508495</v>
      </c>
      <c r="C473" s="13" t="s">
        <v>28</v>
      </c>
      <c r="D473" s="13" t="s">
        <v>34</v>
      </c>
      <c r="E473" s="13">
        <v>1014190282</v>
      </c>
      <c r="F473" s="13">
        <v>27166</v>
      </c>
      <c r="G473" s="13" t="s">
        <v>10</v>
      </c>
      <c r="H473" s="13">
        <v>13147</v>
      </c>
      <c r="I473" s="14">
        <v>410078</v>
      </c>
      <c r="J473" s="21"/>
      <c r="K473" s="21"/>
      <c r="L473" s="21"/>
      <c r="M473" s="21" t="e">
        <f>VLOOKUP(B:B,#REF!,1,0)</f>
        <v>#REF!</v>
      </c>
      <c r="N473" s="21">
        <v>7508495</v>
      </c>
      <c r="O473" s="21" t="e">
        <v>#N/A</v>
      </c>
      <c r="P473" s="21">
        <v>7508495</v>
      </c>
      <c r="Q473" s="21"/>
    </row>
    <row r="474" spans="1:17" x14ac:dyDescent="0.3">
      <c r="A474" s="13">
        <v>2025072444</v>
      </c>
      <c r="B474" s="13">
        <v>10165450</v>
      </c>
      <c r="C474" s="13" t="s">
        <v>28</v>
      </c>
      <c r="D474" s="13" t="s">
        <v>33</v>
      </c>
      <c r="E474" s="13">
        <v>6479682</v>
      </c>
      <c r="F474" s="13">
        <v>27164</v>
      </c>
      <c r="G474" s="13" t="s">
        <v>10</v>
      </c>
      <c r="H474" s="13">
        <v>14156</v>
      </c>
      <c r="I474" s="14">
        <v>403834</v>
      </c>
      <c r="J474" s="21"/>
      <c r="K474" s="21"/>
      <c r="L474" s="21"/>
      <c r="M474" s="21" t="e">
        <f>VLOOKUP(B:B,#REF!,1,0)</f>
        <v>#REF!</v>
      </c>
      <c r="N474" s="21">
        <v>10165450</v>
      </c>
      <c r="O474" s="21" t="e">
        <v>#N/A</v>
      </c>
      <c r="P474" s="21">
        <v>10165450</v>
      </c>
      <c r="Q474" s="21"/>
    </row>
    <row r="475" spans="1:17" x14ac:dyDescent="0.3">
      <c r="A475" s="13">
        <v>2025072063</v>
      </c>
      <c r="B475" s="13">
        <v>7172504</v>
      </c>
      <c r="C475" s="13" t="s">
        <v>8</v>
      </c>
      <c r="D475" s="13" t="s">
        <v>27</v>
      </c>
      <c r="E475" s="13">
        <v>1000218098</v>
      </c>
      <c r="F475" s="13">
        <v>26786</v>
      </c>
      <c r="G475" s="13" t="s">
        <v>10</v>
      </c>
      <c r="H475" s="13">
        <v>13510</v>
      </c>
      <c r="I475" s="14">
        <v>398291</v>
      </c>
      <c r="J475" s="52">
        <v>45922</v>
      </c>
      <c r="K475" s="21" t="s">
        <v>67</v>
      </c>
      <c r="L475" s="21"/>
      <c r="M475" s="21" t="e">
        <f>VLOOKUP(B:B,#REF!,1,0)</f>
        <v>#REF!</v>
      </c>
      <c r="N475" s="21">
        <v>7172504</v>
      </c>
      <c r="O475" s="21" t="e">
        <v>#N/A</v>
      </c>
      <c r="P475" s="21" t="e">
        <v>#N/A</v>
      </c>
      <c r="Q475" s="21"/>
    </row>
    <row r="476" spans="1:17" x14ac:dyDescent="0.3">
      <c r="A476" s="13">
        <v>2025072533</v>
      </c>
      <c r="B476" s="13">
        <v>10526290</v>
      </c>
      <c r="C476" s="13" t="s">
        <v>28</v>
      </c>
      <c r="D476" s="13" t="s">
        <v>33</v>
      </c>
      <c r="E476" s="13">
        <v>6479682</v>
      </c>
      <c r="F476" s="13">
        <v>27164</v>
      </c>
      <c r="G476" s="13" t="s">
        <v>10</v>
      </c>
      <c r="H476" s="13">
        <v>13432</v>
      </c>
      <c r="I476" s="14">
        <v>394150</v>
      </c>
      <c r="J476" s="52">
        <v>45922</v>
      </c>
      <c r="K476" s="21" t="s">
        <v>67</v>
      </c>
      <c r="L476" s="21"/>
      <c r="M476" s="21" t="e">
        <f>VLOOKUP(B:B,#REF!,1,0)</f>
        <v>#REF!</v>
      </c>
      <c r="N476" s="21">
        <v>10526290</v>
      </c>
      <c r="O476" s="21" t="e">
        <v>#N/A</v>
      </c>
      <c r="P476" s="21">
        <v>10526290</v>
      </c>
      <c r="Q476" s="21"/>
    </row>
    <row r="477" spans="1:17" x14ac:dyDescent="0.3">
      <c r="A477" s="13">
        <v>2025072665</v>
      </c>
      <c r="B477" s="13">
        <v>10991215</v>
      </c>
      <c r="C477" s="13" t="s">
        <v>8</v>
      </c>
      <c r="D477" s="13" t="s">
        <v>17</v>
      </c>
      <c r="E477" s="13">
        <v>1014284618</v>
      </c>
      <c r="F477" s="13">
        <v>27083</v>
      </c>
      <c r="G477" s="13" t="s">
        <v>10</v>
      </c>
      <c r="H477" s="13">
        <v>1969</v>
      </c>
      <c r="I477" s="14">
        <v>375070</v>
      </c>
      <c r="J477" s="21"/>
      <c r="K477" s="21"/>
      <c r="L477" s="21"/>
      <c r="M477" s="21" t="e">
        <f>VLOOKUP(B:B,#REF!,1,0)</f>
        <v>#REF!</v>
      </c>
      <c r="N477" s="21">
        <v>10991215</v>
      </c>
      <c r="O477" s="21">
        <v>10991215</v>
      </c>
      <c r="P477" s="21">
        <v>10991215</v>
      </c>
      <c r="Q477" s="21"/>
    </row>
    <row r="478" spans="1:17" x14ac:dyDescent="0.3">
      <c r="A478" s="13">
        <v>2025080720</v>
      </c>
      <c r="B478" s="13">
        <v>11203804</v>
      </c>
      <c r="C478" s="13" t="s">
        <v>76</v>
      </c>
      <c r="D478" s="13" t="s">
        <v>30</v>
      </c>
      <c r="E478" s="13">
        <v>1000620841</v>
      </c>
      <c r="F478" s="13">
        <v>27167</v>
      </c>
      <c r="G478" s="13" t="s">
        <v>10</v>
      </c>
      <c r="H478" s="13">
        <v>12577</v>
      </c>
      <c r="I478" s="14">
        <v>360000</v>
      </c>
      <c r="J478" s="21"/>
      <c r="K478" s="21"/>
      <c r="L478" s="21"/>
      <c r="M478" s="21" t="e">
        <f>VLOOKUP(B:B,#REF!,1,0)</f>
        <v>#REF!</v>
      </c>
      <c r="N478" s="21">
        <v>11203804</v>
      </c>
      <c r="O478" s="21" t="e">
        <v>#N/A</v>
      </c>
      <c r="P478" s="21">
        <v>11203804</v>
      </c>
      <c r="Q478" s="21"/>
    </row>
    <row r="479" spans="1:17" x14ac:dyDescent="0.3">
      <c r="A479" s="13">
        <v>2025073353</v>
      </c>
      <c r="B479" s="13">
        <v>7663853</v>
      </c>
      <c r="C479" s="13" t="s">
        <v>8</v>
      </c>
      <c r="D479" s="13" t="s">
        <v>11</v>
      </c>
      <c r="E479" s="13">
        <v>1016106935</v>
      </c>
      <c r="F479" s="13">
        <v>27064</v>
      </c>
      <c r="G479" s="13" t="s">
        <v>10</v>
      </c>
      <c r="H479" s="13">
        <v>11479</v>
      </c>
      <c r="I479" s="14">
        <v>351860</v>
      </c>
      <c r="J479" s="21"/>
      <c r="K479" s="21"/>
      <c r="L479" s="21"/>
      <c r="M479" s="21" t="e">
        <f>VLOOKUP(B:B,#REF!,1,0)</f>
        <v>#REF!</v>
      </c>
      <c r="N479" s="21">
        <v>7663853</v>
      </c>
      <c r="O479" s="21">
        <v>7663853</v>
      </c>
      <c r="P479" s="21">
        <v>7663853</v>
      </c>
      <c r="Q479" s="21"/>
    </row>
    <row r="480" spans="1:17" x14ac:dyDescent="0.3">
      <c r="A480" s="13">
        <v>2025072087</v>
      </c>
      <c r="B480" s="13">
        <v>10283822</v>
      </c>
      <c r="C480" s="13" t="s">
        <v>76</v>
      </c>
      <c r="D480" s="13" t="s">
        <v>33</v>
      </c>
      <c r="E480" s="13">
        <v>6479682</v>
      </c>
      <c r="F480" s="13">
        <v>27164</v>
      </c>
      <c r="G480" s="13" t="s">
        <v>10</v>
      </c>
      <c r="H480" s="13">
        <v>11055</v>
      </c>
      <c r="I480" s="14">
        <v>333767</v>
      </c>
      <c r="J480" s="21"/>
      <c r="K480" s="21"/>
      <c r="L480" s="21"/>
      <c r="M480" s="21" t="e">
        <f>VLOOKUP(B:B,#REF!,1,0)</f>
        <v>#REF!</v>
      </c>
      <c r="N480" s="21">
        <v>10283822</v>
      </c>
      <c r="O480" s="21" t="e">
        <v>#N/A</v>
      </c>
      <c r="P480" s="21">
        <v>10283822</v>
      </c>
      <c r="Q480" s="21"/>
    </row>
    <row r="481" spans="1:17" x14ac:dyDescent="0.3">
      <c r="A481" s="13">
        <v>2025076414</v>
      </c>
      <c r="B481" s="13">
        <v>7759175</v>
      </c>
      <c r="C481" s="13" t="s">
        <v>28</v>
      </c>
      <c r="D481" s="13" t="s">
        <v>29</v>
      </c>
      <c r="E481" s="13">
        <v>1033684323</v>
      </c>
      <c r="F481" s="13">
        <v>24744</v>
      </c>
      <c r="G481" s="13" t="s">
        <v>10</v>
      </c>
      <c r="H481" s="13">
        <v>13175</v>
      </c>
      <c r="I481" s="14">
        <v>326827</v>
      </c>
      <c r="J481" s="21"/>
      <c r="K481" s="21"/>
      <c r="L481" s="21"/>
      <c r="M481" s="21" t="e">
        <f>VLOOKUP(B:B,#REF!,1,0)</f>
        <v>#REF!</v>
      </c>
      <c r="N481" s="21">
        <v>7759175</v>
      </c>
      <c r="O481" s="21" t="e">
        <v>#N/A</v>
      </c>
      <c r="P481" s="21">
        <v>7759175</v>
      </c>
      <c r="Q481" s="21"/>
    </row>
    <row r="482" spans="1:17" x14ac:dyDescent="0.3">
      <c r="A482" s="13">
        <v>2025077478</v>
      </c>
      <c r="B482" s="13">
        <v>10614491</v>
      </c>
      <c r="C482" s="13" t="s">
        <v>76</v>
      </c>
      <c r="D482" s="13" t="s">
        <v>31</v>
      </c>
      <c r="E482" s="13">
        <v>1000250399</v>
      </c>
      <c r="F482" s="13">
        <v>27143</v>
      </c>
      <c r="G482" s="13" t="s">
        <v>10</v>
      </c>
      <c r="H482" s="13">
        <v>10497</v>
      </c>
      <c r="I482" s="14">
        <v>320547</v>
      </c>
      <c r="J482" s="21"/>
      <c r="K482" s="21"/>
      <c r="L482" s="21"/>
      <c r="M482" s="21" t="e">
        <f>VLOOKUP(B:B,#REF!,1,0)</f>
        <v>#REF!</v>
      </c>
      <c r="N482" s="21">
        <v>10614491</v>
      </c>
      <c r="O482" s="21" t="e">
        <v>#N/A</v>
      </c>
      <c r="P482" s="21">
        <v>10614491</v>
      </c>
      <c r="Q482" s="21"/>
    </row>
    <row r="483" spans="1:17" x14ac:dyDescent="0.3">
      <c r="A483" s="13">
        <v>2025075579</v>
      </c>
      <c r="B483" s="13">
        <v>6184628</v>
      </c>
      <c r="C483" s="13" t="s">
        <v>8</v>
      </c>
      <c r="D483" s="13" t="s">
        <v>24</v>
      </c>
      <c r="E483" s="13">
        <v>1138074284</v>
      </c>
      <c r="F483" s="13">
        <v>27172</v>
      </c>
      <c r="G483" s="13" t="s">
        <v>10</v>
      </c>
      <c r="H483" s="13">
        <v>13509</v>
      </c>
      <c r="I483" s="14">
        <v>316839</v>
      </c>
      <c r="J483" s="21"/>
      <c r="K483" s="21"/>
      <c r="L483" s="21"/>
      <c r="M483" s="21" t="e">
        <f>VLOOKUP(B:B,#REF!,1,0)</f>
        <v>#REF!</v>
      </c>
      <c r="N483" s="21">
        <v>6184628</v>
      </c>
      <c r="O483" s="21">
        <v>6184628</v>
      </c>
      <c r="P483" s="21">
        <v>6184628</v>
      </c>
      <c r="Q483" s="21"/>
    </row>
    <row r="484" spans="1:17" x14ac:dyDescent="0.3">
      <c r="A484" s="13">
        <v>2025073307</v>
      </c>
      <c r="B484" s="13">
        <v>7710738</v>
      </c>
      <c r="C484" s="13" t="s">
        <v>8</v>
      </c>
      <c r="D484" s="13" t="s">
        <v>19</v>
      </c>
      <c r="E484" s="13">
        <v>1024593276</v>
      </c>
      <c r="F484" s="13">
        <v>27068</v>
      </c>
      <c r="G484" s="13" t="s">
        <v>10</v>
      </c>
      <c r="H484" s="13">
        <v>13150</v>
      </c>
      <c r="I484" s="14">
        <v>316560</v>
      </c>
      <c r="J484" s="21"/>
      <c r="K484" s="21"/>
      <c r="L484" s="21"/>
      <c r="M484" s="21" t="e">
        <f>VLOOKUP(B:B,#REF!,1,0)</f>
        <v>#REF!</v>
      </c>
      <c r="N484" s="21">
        <v>7710738</v>
      </c>
      <c r="O484" s="21">
        <v>7710738</v>
      </c>
      <c r="P484" s="21">
        <v>7710738</v>
      </c>
      <c r="Q484" s="21"/>
    </row>
    <row r="485" spans="1:17" x14ac:dyDescent="0.3">
      <c r="A485" s="13">
        <v>2025076823</v>
      </c>
      <c r="B485" s="13">
        <v>7450231</v>
      </c>
      <c r="C485" s="13" t="s">
        <v>28</v>
      </c>
      <c r="D485" s="13" t="s">
        <v>31</v>
      </c>
      <c r="E485" s="13">
        <v>1000250399</v>
      </c>
      <c r="F485" s="13">
        <v>27143</v>
      </c>
      <c r="G485" s="13" t="s">
        <v>10</v>
      </c>
      <c r="H485" s="13">
        <v>13432</v>
      </c>
      <c r="I485" s="14">
        <v>300807</v>
      </c>
      <c r="J485" s="21"/>
      <c r="K485" s="21"/>
      <c r="L485" s="21"/>
      <c r="M485" s="21" t="e">
        <f>VLOOKUP(B:B,#REF!,1,0)</f>
        <v>#REF!</v>
      </c>
      <c r="N485" s="21">
        <v>7450231</v>
      </c>
      <c r="O485" s="21" t="e">
        <v>#N/A</v>
      </c>
      <c r="P485" s="21">
        <v>7450231</v>
      </c>
      <c r="Q485" s="21"/>
    </row>
    <row r="486" spans="1:17" x14ac:dyDescent="0.3">
      <c r="A486" s="13">
        <v>2025080939</v>
      </c>
      <c r="B486" s="13">
        <v>10153505</v>
      </c>
      <c r="C486" s="13" t="s">
        <v>28</v>
      </c>
      <c r="D486" s="13" t="s">
        <v>33</v>
      </c>
      <c r="E486" s="13">
        <v>6479682</v>
      </c>
      <c r="F486" s="13">
        <v>27164</v>
      </c>
      <c r="G486" s="13" t="s">
        <v>10</v>
      </c>
      <c r="H486" s="13">
        <v>15005</v>
      </c>
      <c r="I486" s="14">
        <v>295024</v>
      </c>
      <c r="J486" s="21"/>
      <c r="K486" s="21"/>
      <c r="L486" s="21"/>
      <c r="M486" s="21" t="e">
        <f>VLOOKUP(B:B,#REF!,1,0)</f>
        <v>#REF!</v>
      </c>
      <c r="N486" s="21">
        <v>10153505</v>
      </c>
      <c r="O486" s="21">
        <v>10153505</v>
      </c>
      <c r="P486" s="21">
        <v>10153505</v>
      </c>
      <c r="Q486" s="21"/>
    </row>
    <row r="487" spans="1:17" x14ac:dyDescent="0.3">
      <c r="A487" s="13">
        <v>2025080075</v>
      </c>
      <c r="B487" s="13">
        <v>10951330</v>
      </c>
      <c r="C487" s="13" t="s">
        <v>8</v>
      </c>
      <c r="D487" s="13" t="s">
        <v>21</v>
      </c>
      <c r="E487" s="13">
        <v>1000727404</v>
      </c>
      <c r="F487" s="13">
        <v>24436</v>
      </c>
      <c r="G487" s="13" t="s">
        <v>10</v>
      </c>
      <c r="H487" s="13">
        <v>10007</v>
      </c>
      <c r="I487" s="14">
        <v>293973</v>
      </c>
      <c r="J487" s="21"/>
      <c r="K487" s="21"/>
      <c r="L487" s="21"/>
      <c r="M487" s="21" t="e">
        <f>VLOOKUP(B:B,#REF!,1,0)</f>
        <v>#REF!</v>
      </c>
      <c r="N487" s="21">
        <v>10951330</v>
      </c>
      <c r="O487" s="21">
        <v>10951330</v>
      </c>
      <c r="P487" s="21">
        <v>10951330</v>
      </c>
      <c r="Q487" s="21"/>
    </row>
    <row r="488" spans="1:17" x14ac:dyDescent="0.3">
      <c r="A488" s="13">
        <v>2025076659</v>
      </c>
      <c r="B488" s="13">
        <v>10601415</v>
      </c>
      <c r="C488" s="13" t="s">
        <v>8</v>
      </c>
      <c r="D488" s="13" t="s">
        <v>9</v>
      </c>
      <c r="E488" s="13">
        <v>1001275619</v>
      </c>
      <c r="F488" s="13">
        <v>27063</v>
      </c>
      <c r="G488" s="13" t="s">
        <v>10</v>
      </c>
      <c r="H488" s="13">
        <v>10618</v>
      </c>
      <c r="I488" s="14">
        <v>281500</v>
      </c>
      <c r="J488" s="21"/>
      <c r="K488" s="21"/>
      <c r="L488" s="21"/>
      <c r="M488" s="21" t="e">
        <f>VLOOKUP(B:B,#REF!,1,0)</f>
        <v>#REF!</v>
      </c>
      <c r="N488" s="21">
        <v>10601415</v>
      </c>
      <c r="O488" s="21">
        <v>10601415</v>
      </c>
      <c r="P488" s="21">
        <v>10601415</v>
      </c>
      <c r="Q488" s="21"/>
    </row>
    <row r="489" spans="1:17" x14ac:dyDescent="0.3">
      <c r="A489" s="13">
        <v>2025078413</v>
      </c>
      <c r="B489" s="13">
        <v>11130412</v>
      </c>
      <c r="C489" s="13" t="s">
        <v>28</v>
      </c>
      <c r="D489" s="13" t="s">
        <v>55</v>
      </c>
      <c r="E489" s="13">
        <v>52879254</v>
      </c>
      <c r="F489" s="13">
        <v>27224</v>
      </c>
      <c r="G489" s="13" t="s">
        <v>10</v>
      </c>
      <c r="H489" s="13">
        <v>13226</v>
      </c>
      <c r="I489" s="14">
        <v>270531</v>
      </c>
      <c r="J489" s="21"/>
      <c r="K489" s="21"/>
      <c r="L489" s="21"/>
      <c r="M489" s="21" t="e">
        <f>VLOOKUP(B:B,#REF!,1,0)</f>
        <v>#REF!</v>
      </c>
      <c r="N489" s="21">
        <v>11130412</v>
      </c>
      <c r="O489" s="21">
        <v>11130412</v>
      </c>
      <c r="P489" s="21" t="e">
        <v>#N/A</v>
      </c>
      <c r="Q489" s="21"/>
    </row>
    <row r="490" spans="1:17" x14ac:dyDescent="0.3">
      <c r="A490" s="13">
        <v>2025073451</v>
      </c>
      <c r="B490" s="13">
        <v>11150133</v>
      </c>
      <c r="C490" s="13" t="s">
        <v>8</v>
      </c>
      <c r="D490" s="13" t="s">
        <v>65</v>
      </c>
      <c r="E490" s="13">
        <v>1000338067</v>
      </c>
      <c r="F490" s="13">
        <v>24433</v>
      </c>
      <c r="G490" s="13" t="s">
        <v>10</v>
      </c>
      <c r="H490" s="13">
        <v>1340</v>
      </c>
      <c r="I490" s="14">
        <v>252490</v>
      </c>
      <c r="J490" s="21"/>
      <c r="K490" s="21"/>
      <c r="L490" s="21"/>
      <c r="M490" s="21" t="e">
        <f>VLOOKUP(B:B,#REF!,1,0)</f>
        <v>#REF!</v>
      </c>
      <c r="N490" s="21">
        <v>11150133</v>
      </c>
      <c r="O490" s="21">
        <v>11150133</v>
      </c>
      <c r="P490" s="21">
        <v>11150133</v>
      </c>
      <c r="Q490" s="21"/>
    </row>
    <row r="491" spans="1:17" x14ac:dyDescent="0.3">
      <c r="A491" s="13">
        <v>2025072991</v>
      </c>
      <c r="B491" s="13">
        <v>11096071</v>
      </c>
      <c r="C491" s="13" t="s">
        <v>8</v>
      </c>
      <c r="D491" s="13" t="s">
        <v>26</v>
      </c>
      <c r="E491" s="13">
        <v>1018439309</v>
      </c>
      <c r="F491" s="13">
        <v>23384</v>
      </c>
      <c r="G491" s="13" t="s">
        <v>10</v>
      </c>
      <c r="H491" s="13">
        <v>10946</v>
      </c>
      <c r="I491" s="14">
        <v>249044</v>
      </c>
      <c r="J491" s="52">
        <v>45924</v>
      </c>
      <c r="K491" s="21" t="s">
        <v>79</v>
      </c>
      <c r="L491" s="21"/>
      <c r="M491" s="21" t="e">
        <f>VLOOKUP(B:B,#REF!,1,0)</f>
        <v>#REF!</v>
      </c>
      <c r="N491" s="21">
        <v>11096071</v>
      </c>
      <c r="O491" s="21">
        <v>11096071</v>
      </c>
      <c r="P491" s="21" t="e">
        <v>#N/A</v>
      </c>
      <c r="Q491" s="21"/>
    </row>
    <row r="492" spans="1:17" x14ac:dyDescent="0.3">
      <c r="A492" s="13">
        <v>2025079893</v>
      </c>
      <c r="B492" s="13">
        <v>11045757</v>
      </c>
      <c r="C492" s="13" t="s">
        <v>28</v>
      </c>
      <c r="D492" s="13" t="s">
        <v>34</v>
      </c>
      <c r="E492" s="13">
        <v>1014190282</v>
      </c>
      <c r="F492" s="13">
        <v>27166</v>
      </c>
      <c r="G492" s="13" t="s">
        <v>10</v>
      </c>
      <c r="H492" s="13">
        <v>13010</v>
      </c>
      <c r="I492" s="14">
        <v>233363</v>
      </c>
      <c r="J492" s="21"/>
      <c r="K492" s="21"/>
      <c r="L492" s="21"/>
      <c r="M492" s="21" t="e">
        <f>VLOOKUP(B:B,#REF!,1,0)</f>
        <v>#REF!</v>
      </c>
      <c r="N492" s="21">
        <v>11045757</v>
      </c>
      <c r="O492" s="21" t="e">
        <v>#N/A</v>
      </c>
      <c r="P492" s="21">
        <v>11045757</v>
      </c>
      <c r="Q492" s="21"/>
    </row>
    <row r="493" spans="1:17" x14ac:dyDescent="0.3">
      <c r="A493" s="13">
        <v>2025079536</v>
      </c>
      <c r="B493" s="13">
        <v>10620498</v>
      </c>
      <c r="C493" s="13" t="s">
        <v>8</v>
      </c>
      <c r="D493" s="13" t="s">
        <v>14</v>
      </c>
      <c r="E493" s="13">
        <v>1033685482</v>
      </c>
      <c r="F493" s="13">
        <v>24441</v>
      </c>
      <c r="G493" s="13" t="s">
        <v>10</v>
      </c>
      <c r="H493" s="13">
        <v>13010</v>
      </c>
      <c r="I493" s="14">
        <v>230379</v>
      </c>
      <c r="J493" s="21"/>
      <c r="K493" s="21"/>
      <c r="L493" s="21"/>
      <c r="M493" s="21" t="e">
        <f>VLOOKUP(B:B,#REF!,1,0)</f>
        <v>#REF!</v>
      </c>
      <c r="N493" s="21">
        <v>10620498</v>
      </c>
      <c r="O493" s="21">
        <v>10620498</v>
      </c>
      <c r="P493" s="21">
        <v>10620498</v>
      </c>
      <c r="Q493" s="21"/>
    </row>
    <row r="494" spans="1:17" x14ac:dyDescent="0.3">
      <c r="A494" s="13">
        <v>2025072245</v>
      </c>
      <c r="B494" s="13">
        <v>10967780</v>
      </c>
      <c r="C494" s="13" t="s">
        <v>8</v>
      </c>
      <c r="D494" s="13" t="s">
        <v>22</v>
      </c>
      <c r="E494" s="13">
        <v>1001116838</v>
      </c>
      <c r="F494" s="13">
        <v>27104</v>
      </c>
      <c r="G494" s="13" t="s">
        <v>10</v>
      </c>
      <c r="H494" s="13">
        <v>13093</v>
      </c>
      <c r="I494" s="14">
        <v>222225</v>
      </c>
      <c r="J494" s="52">
        <v>45924</v>
      </c>
      <c r="K494" s="21" t="s">
        <v>87</v>
      </c>
      <c r="L494" s="21"/>
      <c r="M494" s="21" t="e">
        <f>VLOOKUP(B:B,#REF!,1,0)</f>
        <v>#REF!</v>
      </c>
      <c r="N494" s="21">
        <v>10967780</v>
      </c>
      <c r="O494" s="21">
        <v>10967780</v>
      </c>
      <c r="P494" s="21" t="e">
        <v>#N/A</v>
      </c>
      <c r="Q494" s="21"/>
    </row>
    <row r="495" spans="1:17" x14ac:dyDescent="0.3">
      <c r="A495" s="13">
        <v>2025074327</v>
      </c>
      <c r="B495" s="13">
        <v>10162342</v>
      </c>
      <c r="C495" s="13" t="s">
        <v>28</v>
      </c>
      <c r="D495" s="13" t="s">
        <v>56</v>
      </c>
      <c r="E495" s="13">
        <v>1000004978</v>
      </c>
      <c r="F495" s="13">
        <v>27203</v>
      </c>
      <c r="G495" s="13" t="s">
        <v>10</v>
      </c>
      <c r="H495" s="13">
        <v>14156</v>
      </c>
      <c r="I495" s="14">
        <v>192500</v>
      </c>
      <c r="J495" s="21"/>
      <c r="K495" s="21"/>
      <c r="L495" s="21"/>
      <c r="M495" s="21" t="e">
        <f>VLOOKUP(B:B,#REF!,1,0)</f>
        <v>#REF!</v>
      </c>
      <c r="N495" s="21">
        <v>10162342</v>
      </c>
      <c r="O495" s="21" t="e">
        <v>#N/A</v>
      </c>
      <c r="P495" s="21">
        <v>10162342</v>
      </c>
      <c r="Q495" s="21"/>
    </row>
    <row r="496" spans="1:17" x14ac:dyDescent="0.3">
      <c r="A496" s="13">
        <v>2025072244</v>
      </c>
      <c r="B496" s="13">
        <v>10167169</v>
      </c>
      <c r="C496" s="13" t="s">
        <v>28</v>
      </c>
      <c r="D496" s="13" t="s">
        <v>56</v>
      </c>
      <c r="E496" s="13">
        <v>1000004978</v>
      </c>
      <c r="F496" s="13">
        <v>27203</v>
      </c>
      <c r="G496" s="13" t="s">
        <v>10</v>
      </c>
      <c r="H496" s="13">
        <v>11043</v>
      </c>
      <c r="I496" s="14">
        <v>156442</v>
      </c>
      <c r="J496" s="21"/>
      <c r="K496" s="21"/>
      <c r="L496" s="21"/>
      <c r="M496" s="21" t="e">
        <f>VLOOKUP(B:B,#REF!,1,0)</f>
        <v>#REF!</v>
      </c>
      <c r="N496" s="21">
        <v>10167169</v>
      </c>
      <c r="O496" s="21" t="e">
        <v>#N/A</v>
      </c>
      <c r="P496" s="21">
        <v>10167169</v>
      </c>
      <c r="Q496" s="21"/>
    </row>
    <row r="497" spans="1:17" x14ac:dyDescent="0.3">
      <c r="A497" s="13">
        <v>2025073296</v>
      </c>
      <c r="B497" s="13">
        <v>10069804</v>
      </c>
      <c r="C497" s="13" t="s">
        <v>8</v>
      </c>
      <c r="D497" s="13" t="s">
        <v>23</v>
      </c>
      <c r="E497" s="13">
        <v>1015449218</v>
      </c>
      <c r="F497" s="13">
        <v>24438</v>
      </c>
      <c r="G497" s="13" t="s">
        <v>10</v>
      </c>
      <c r="H497" s="13">
        <v>10335</v>
      </c>
      <c r="I497" s="14">
        <v>153511</v>
      </c>
      <c r="J497" s="21"/>
      <c r="K497" s="21"/>
      <c r="L497" s="21"/>
      <c r="M497" s="21" t="e">
        <f>VLOOKUP(B:B,#REF!,1,0)</f>
        <v>#REF!</v>
      </c>
      <c r="N497" s="21">
        <v>10069804</v>
      </c>
      <c r="O497" s="21">
        <v>10069804</v>
      </c>
      <c r="P497" s="21">
        <v>10069804</v>
      </c>
      <c r="Q497" s="21"/>
    </row>
    <row r="498" spans="1:17" x14ac:dyDescent="0.3">
      <c r="A498" s="13">
        <v>2025073284</v>
      </c>
      <c r="B498" s="13">
        <v>5638405</v>
      </c>
      <c r="C498" s="13" t="s">
        <v>8</v>
      </c>
      <c r="D498" s="13" t="s">
        <v>13</v>
      </c>
      <c r="E498" s="13">
        <v>52756032</v>
      </c>
      <c r="F498" s="13">
        <v>26668</v>
      </c>
      <c r="G498" s="13" t="s">
        <v>10</v>
      </c>
      <c r="H498" s="13">
        <v>13150</v>
      </c>
      <c r="I498" s="14">
        <v>132584</v>
      </c>
      <c r="J498" s="21"/>
      <c r="K498" s="21"/>
      <c r="L498" s="21"/>
      <c r="M498" s="21" t="e">
        <f>VLOOKUP(B:B,#REF!,1,0)</f>
        <v>#REF!</v>
      </c>
      <c r="N498" s="21">
        <v>5638405</v>
      </c>
      <c r="O498" s="21">
        <v>5638405</v>
      </c>
      <c r="P498" s="21">
        <v>5638405</v>
      </c>
      <c r="Q498" s="21"/>
    </row>
    <row r="499" spans="1:17" x14ac:dyDescent="0.3">
      <c r="A499" s="13">
        <v>2025076811</v>
      </c>
      <c r="B499" s="13">
        <v>10251350</v>
      </c>
      <c r="C499" s="13" t="s">
        <v>28</v>
      </c>
      <c r="D499" s="13" t="s">
        <v>33</v>
      </c>
      <c r="E499" s="13">
        <v>6479682</v>
      </c>
      <c r="F499" s="13">
        <v>27164</v>
      </c>
      <c r="G499" s="13" t="s">
        <v>10</v>
      </c>
      <c r="H499" s="13">
        <v>13157</v>
      </c>
      <c r="I499" s="14">
        <v>111172</v>
      </c>
      <c r="J499" s="21"/>
      <c r="K499" s="21"/>
      <c r="L499" s="21"/>
      <c r="M499" s="21" t="e">
        <f>VLOOKUP(B:B,#REF!,1,0)</f>
        <v>#REF!</v>
      </c>
      <c r="N499" s="21">
        <v>10251350</v>
      </c>
      <c r="O499" s="21" t="e">
        <v>#N/A</v>
      </c>
      <c r="P499" s="21">
        <v>10251350</v>
      </c>
      <c r="Q499" s="21"/>
    </row>
    <row r="500" spans="1:17" x14ac:dyDescent="0.3">
      <c r="A500" s="13">
        <v>2025073702</v>
      </c>
      <c r="B500" s="13">
        <v>11061283</v>
      </c>
      <c r="C500" s="13" t="s">
        <v>28</v>
      </c>
      <c r="D500" s="13" t="s">
        <v>30</v>
      </c>
      <c r="E500" s="13">
        <v>1000620841</v>
      </c>
      <c r="F500" s="13">
        <v>27167</v>
      </c>
      <c r="G500" s="13" t="s">
        <v>10</v>
      </c>
      <c r="H500" s="13">
        <v>52</v>
      </c>
      <c r="I500" s="14">
        <v>102801</v>
      </c>
      <c r="J500" s="21"/>
      <c r="K500" s="21"/>
      <c r="L500" s="21"/>
      <c r="M500" s="21" t="e">
        <f>VLOOKUP(B:B,#REF!,1,0)</f>
        <v>#REF!</v>
      </c>
      <c r="N500" s="21">
        <v>11061283</v>
      </c>
      <c r="O500" s="21" t="e">
        <v>#N/A</v>
      </c>
      <c r="P500" s="21">
        <v>11061283</v>
      </c>
      <c r="Q500" s="21"/>
    </row>
    <row r="501" spans="1:17" x14ac:dyDescent="0.3">
      <c r="A501" s="13">
        <v>2025073279</v>
      </c>
      <c r="B501" s="13">
        <v>10993655</v>
      </c>
      <c r="C501" s="13" t="s">
        <v>8</v>
      </c>
      <c r="D501" s="13" t="s">
        <v>13</v>
      </c>
      <c r="E501" s="13">
        <v>52756032</v>
      </c>
      <c r="F501" s="13">
        <v>26668</v>
      </c>
      <c r="G501" s="13" t="s">
        <v>10</v>
      </c>
      <c r="H501" s="13">
        <v>13150</v>
      </c>
      <c r="I501" s="14">
        <v>90871</v>
      </c>
      <c r="J501" s="21"/>
      <c r="K501" s="21"/>
      <c r="L501" s="21"/>
      <c r="M501" s="21" t="e">
        <f>VLOOKUP(B:B,#REF!,1,0)</f>
        <v>#REF!</v>
      </c>
      <c r="N501" s="21">
        <v>10993655</v>
      </c>
      <c r="O501" s="21">
        <v>10993655</v>
      </c>
      <c r="P501" s="21">
        <v>10993655</v>
      </c>
      <c r="Q501" s="21"/>
    </row>
    <row r="502" spans="1:17" x14ac:dyDescent="0.3">
      <c r="A502" s="13">
        <v>2025072990</v>
      </c>
      <c r="B502" s="13">
        <v>10583114</v>
      </c>
      <c r="C502" s="13" t="s">
        <v>8</v>
      </c>
      <c r="D502" s="13" t="s">
        <v>23</v>
      </c>
      <c r="E502" s="13">
        <v>1015449218</v>
      </c>
      <c r="F502" s="13">
        <v>24438</v>
      </c>
      <c r="G502" s="13" t="s">
        <v>10</v>
      </c>
      <c r="H502" s="13">
        <v>10946</v>
      </c>
      <c r="I502" s="14">
        <v>88804</v>
      </c>
      <c r="J502" s="21"/>
      <c r="K502" s="21"/>
      <c r="L502" s="21"/>
      <c r="M502" s="21" t="e">
        <f>VLOOKUP(B:B,#REF!,1,0)</f>
        <v>#REF!</v>
      </c>
      <c r="N502" s="21">
        <v>10583114</v>
      </c>
      <c r="O502" s="21">
        <v>10583114</v>
      </c>
      <c r="P502" s="21">
        <v>10583114</v>
      </c>
      <c r="Q502" s="21"/>
    </row>
    <row r="503" spans="1:17" x14ac:dyDescent="0.3">
      <c r="A503" s="13">
        <v>2025073689</v>
      </c>
      <c r="B503" s="13">
        <v>10474574</v>
      </c>
      <c r="C503" s="13" t="s">
        <v>28</v>
      </c>
      <c r="D503" s="13" t="s">
        <v>31</v>
      </c>
      <c r="E503" s="13">
        <v>1000250399</v>
      </c>
      <c r="F503" s="13">
        <v>27143</v>
      </c>
      <c r="G503" s="13" t="s">
        <v>10</v>
      </c>
      <c r="H503" s="13">
        <v>52</v>
      </c>
      <c r="I503" s="14">
        <v>76878</v>
      </c>
      <c r="J503" s="21"/>
      <c r="K503" s="21"/>
      <c r="L503" s="21"/>
      <c r="M503" s="21" t="e">
        <f>VLOOKUP(B:B,#REF!,1,0)</f>
        <v>#REF!</v>
      </c>
      <c r="N503" s="21">
        <v>10474574</v>
      </c>
      <c r="O503" s="21" t="e">
        <v>#N/A</v>
      </c>
      <c r="P503" s="21">
        <v>10474574</v>
      </c>
      <c r="Q503" s="21"/>
    </row>
    <row r="504" spans="1:17" x14ac:dyDescent="0.3">
      <c r="A504" s="13">
        <v>2025078652</v>
      </c>
      <c r="B504" s="13">
        <v>10536778</v>
      </c>
      <c r="C504" s="13" t="s">
        <v>28</v>
      </c>
      <c r="D504" s="13" t="s">
        <v>31</v>
      </c>
      <c r="E504" s="13">
        <v>1000250399</v>
      </c>
      <c r="F504" s="13">
        <v>27143</v>
      </c>
      <c r="G504" s="13" t="s">
        <v>10</v>
      </c>
      <c r="H504" s="13">
        <v>10618</v>
      </c>
      <c r="I504" s="14">
        <v>70000</v>
      </c>
      <c r="J504" s="21"/>
      <c r="K504" s="21"/>
      <c r="L504" s="21"/>
      <c r="M504" s="21" t="e">
        <f>VLOOKUP(B:B,#REF!,1,0)</f>
        <v>#REF!</v>
      </c>
      <c r="N504" s="21">
        <v>10536778</v>
      </c>
      <c r="O504" s="21">
        <v>10536778</v>
      </c>
      <c r="P504" s="21">
        <v>10536778</v>
      </c>
      <c r="Q504" s="21"/>
    </row>
    <row r="505" spans="1:17" x14ac:dyDescent="0.3">
      <c r="A505" s="13">
        <v>2025076636</v>
      </c>
      <c r="B505" s="13">
        <v>10619871</v>
      </c>
      <c r="C505" s="13" t="s">
        <v>28</v>
      </c>
      <c r="D505" s="13" t="s">
        <v>31</v>
      </c>
      <c r="E505" s="13">
        <v>1000250399</v>
      </c>
      <c r="F505" s="13">
        <v>27143</v>
      </c>
      <c r="G505" s="13" t="s">
        <v>10</v>
      </c>
      <c r="H505" s="13">
        <v>12323</v>
      </c>
      <c r="I505" s="14">
        <v>60250</v>
      </c>
      <c r="J505" s="21"/>
      <c r="K505" s="21"/>
      <c r="L505" s="21"/>
      <c r="M505" s="21" t="e">
        <f>VLOOKUP(B:B,#REF!,1,0)</f>
        <v>#REF!</v>
      </c>
      <c r="N505" s="21">
        <v>10619871</v>
      </c>
      <c r="O505" s="21" t="e">
        <v>#N/A</v>
      </c>
      <c r="P505" s="21">
        <v>10619871</v>
      </c>
      <c r="Q505" s="21"/>
    </row>
    <row r="506" spans="1:17" x14ac:dyDescent="0.3">
      <c r="A506" s="13">
        <v>2025071968</v>
      </c>
      <c r="B506" s="13">
        <v>10097284</v>
      </c>
      <c r="C506" s="13" t="s">
        <v>28</v>
      </c>
      <c r="D506" s="13" t="s">
        <v>33</v>
      </c>
      <c r="E506" s="13">
        <v>6479682</v>
      </c>
      <c r="F506" s="13">
        <v>27164</v>
      </c>
      <c r="G506" s="13" t="s">
        <v>10</v>
      </c>
      <c r="H506" s="13">
        <v>11147</v>
      </c>
      <c r="I506" s="14">
        <v>59580</v>
      </c>
      <c r="J506" s="21"/>
      <c r="K506" s="21"/>
      <c r="L506" s="21"/>
      <c r="M506" s="21" t="e">
        <f>VLOOKUP(B:B,#REF!,1,0)</f>
        <v>#REF!</v>
      </c>
      <c r="N506" s="21">
        <v>10097284</v>
      </c>
      <c r="O506" s="21" t="e">
        <v>#N/A</v>
      </c>
      <c r="P506" s="21">
        <v>10097284</v>
      </c>
      <c r="Q506" s="21"/>
    </row>
    <row r="507" spans="1:17" x14ac:dyDescent="0.3">
      <c r="A507" s="13">
        <v>2025071991</v>
      </c>
      <c r="B507" s="13">
        <v>10544259</v>
      </c>
      <c r="C507" s="13" t="s">
        <v>8</v>
      </c>
      <c r="D507" s="13" t="s">
        <v>22</v>
      </c>
      <c r="E507" s="13">
        <v>1001116838</v>
      </c>
      <c r="F507" s="13">
        <v>27104</v>
      </c>
      <c r="G507" s="13" t="s">
        <v>10</v>
      </c>
      <c r="H507" s="13">
        <v>11147</v>
      </c>
      <c r="I507" s="14">
        <v>27174</v>
      </c>
      <c r="J507" s="21"/>
      <c r="K507" s="21"/>
      <c r="L507" s="21"/>
      <c r="M507" s="21" t="e">
        <f>VLOOKUP(B:B,#REF!,1,0)</f>
        <v>#REF!</v>
      </c>
      <c r="N507" s="21">
        <v>10544259</v>
      </c>
      <c r="O507" s="21">
        <v>10544259</v>
      </c>
      <c r="P507" s="21">
        <v>10544259</v>
      </c>
      <c r="Q507" s="21"/>
    </row>
    <row r="508" spans="1:17" x14ac:dyDescent="0.3">
      <c r="A508" s="13">
        <v>2025078687</v>
      </c>
      <c r="B508" s="13">
        <v>7077807</v>
      </c>
      <c r="C508" s="13" t="s">
        <v>8</v>
      </c>
      <c r="D508" s="13" t="s">
        <v>14</v>
      </c>
      <c r="E508" s="13">
        <v>1033685482</v>
      </c>
      <c r="F508" s="13">
        <v>24441</v>
      </c>
      <c r="G508" s="13" t="s">
        <v>10</v>
      </c>
      <c r="H508" s="13">
        <v>12328</v>
      </c>
      <c r="I508" s="14">
        <v>17825</v>
      </c>
      <c r="J508" s="21"/>
      <c r="K508" s="21"/>
      <c r="L508" s="21"/>
      <c r="M508" s="21" t="e">
        <f>VLOOKUP(B:B,#REF!,1,0)</f>
        <v>#REF!</v>
      </c>
      <c r="N508" s="21">
        <v>7077807</v>
      </c>
      <c r="O508" s="21">
        <v>7077807</v>
      </c>
      <c r="P508" s="21">
        <v>7077807</v>
      </c>
      <c r="Q508" s="21"/>
    </row>
    <row r="509" spans="1:17" x14ac:dyDescent="0.3">
      <c r="A509" s="13">
        <v>2025079109</v>
      </c>
      <c r="B509" s="13">
        <v>10173469</v>
      </c>
      <c r="C509" s="13" t="s">
        <v>8</v>
      </c>
      <c r="D509" s="13" t="s">
        <v>65</v>
      </c>
      <c r="E509" s="13">
        <v>1000338067</v>
      </c>
      <c r="F509" s="13">
        <v>24433</v>
      </c>
      <c r="G509" s="13" t="s">
        <v>10</v>
      </c>
      <c r="H509" s="13">
        <v>13183</v>
      </c>
      <c r="I509" s="14">
        <v>10222</v>
      </c>
      <c r="J509" s="21"/>
      <c r="K509" s="21"/>
      <c r="L509" s="21"/>
      <c r="M509" s="21" t="e">
        <f>VLOOKUP(B:B,#REF!,1,0)</f>
        <v>#REF!</v>
      </c>
      <c r="N509" s="21">
        <v>10173469</v>
      </c>
      <c r="O509" s="21">
        <v>10173469</v>
      </c>
      <c r="P509" s="21">
        <v>10173469</v>
      </c>
      <c r="Q509" s="21"/>
    </row>
    <row r="510" spans="1:17" x14ac:dyDescent="0.3">
      <c r="A510" s="13">
        <v>2025073019</v>
      </c>
      <c r="B510" s="13">
        <v>11263052</v>
      </c>
      <c r="C510" s="13" t="s">
        <v>8</v>
      </c>
      <c r="D510" s="13" t="s">
        <v>16</v>
      </c>
      <c r="E510" s="13">
        <v>1019115964</v>
      </c>
      <c r="F510" s="13">
        <v>23410</v>
      </c>
      <c r="G510" s="13" t="s">
        <v>10</v>
      </c>
      <c r="H510" s="13">
        <v>13465</v>
      </c>
      <c r="I510" s="14">
        <v>0</v>
      </c>
      <c r="J510" s="21"/>
      <c r="K510" s="21"/>
      <c r="L510" s="21"/>
      <c r="M510" s="21" t="e">
        <f>VLOOKUP(B:B,#REF!,1,0)</f>
        <v>#REF!</v>
      </c>
      <c r="N510" s="21">
        <v>11263052</v>
      </c>
      <c r="O510" s="21">
        <v>11263052</v>
      </c>
      <c r="P510" s="21">
        <v>11263052</v>
      </c>
      <c r="Q510" s="21"/>
    </row>
    <row r="511" spans="1:17" x14ac:dyDescent="0.3">
      <c r="A511" s="13">
        <v>2025074744</v>
      </c>
      <c r="B511" s="13">
        <v>7341372</v>
      </c>
      <c r="C511" s="13" t="s">
        <v>76</v>
      </c>
      <c r="D511" s="13" t="s">
        <v>33</v>
      </c>
      <c r="E511" s="13">
        <v>6479682</v>
      </c>
      <c r="F511" s="13">
        <v>27164</v>
      </c>
      <c r="G511" s="13" t="s">
        <v>10</v>
      </c>
      <c r="H511" s="13">
        <v>429</v>
      </c>
      <c r="I511" s="14"/>
      <c r="J511" s="21"/>
      <c r="K511" s="21"/>
      <c r="L511" s="21"/>
      <c r="M511" s="21" t="e">
        <f>VLOOKUP(B:B,#REF!,1,0)</f>
        <v>#REF!</v>
      </c>
      <c r="N511" s="21">
        <v>7341372</v>
      </c>
      <c r="O511" s="21" t="e">
        <v>#N/A</v>
      </c>
      <c r="P511" s="21">
        <v>7341372</v>
      </c>
      <c r="Q511" s="21"/>
    </row>
  </sheetData>
  <conditionalFormatting sqref="B2:B488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B3C6-A01B-4D18-B880-9590DBA8E32B}">
  <dimension ref="A1:D20"/>
  <sheetViews>
    <sheetView workbookViewId="0">
      <selection activeCell="D13" sqref="D13"/>
    </sheetView>
  </sheetViews>
  <sheetFormatPr baseColWidth="10" defaultRowHeight="14.5" x14ac:dyDescent="0.35"/>
  <cols>
    <col min="1" max="1" width="36" bestFit="1" customWidth="1"/>
    <col min="2" max="2" width="15.08984375" style="1" bestFit="1" customWidth="1"/>
    <col min="3" max="3" width="12.54296875" bestFit="1" customWidth="1"/>
  </cols>
  <sheetData>
    <row r="1" spans="1:2" x14ac:dyDescent="0.35">
      <c r="A1" s="18" t="s">
        <v>36</v>
      </c>
      <c r="B1" s="19" t="s">
        <v>63</v>
      </c>
    </row>
    <row r="2" spans="1:2" x14ac:dyDescent="0.35">
      <c r="A2" s="7" t="s">
        <v>21</v>
      </c>
      <c r="B2" s="2"/>
    </row>
    <row r="3" spans="1:2" x14ac:dyDescent="0.35">
      <c r="A3" s="7" t="s">
        <v>22</v>
      </c>
      <c r="B3" s="2"/>
    </row>
    <row r="4" spans="1:2" x14ac:dyDescent="0.35">
      <c r="A4" s="7" t="s">
        <v>12</v>
      </c>
      <c r="B4" s="2"/>
    </row>
    <row r="5" spans="1:2" x14ac:dyDescent="0.35">
      <c r="A5" s="7" t="s">
        <v>18</v>
      </c>
      <c r="B5" s="2"/>
    </row>
    <row r="6" spans="1:2" x14ac:dyDescent="0.35">
      <c r="A6" s="7" t="s">
        <v>11</v>
      </c>
      <c r="B6" s="2"/>
    </row>
    <row r="7" spans="1:2" x14ac:dyDescent="0.35">
      <c r="A7" s="7" t="s">
        <v>25</v>
      </c>
      <c r="B7" s="2"/>
    </row>
    <row r="8" spans="1:2" x14ac:dyDescent="0.35">
      <c r="A8" s="7" t="s">
        <v>13</v>
      </c>
      <c r="B8" s="2"/>
    </row>
    <row r="9" spans="1:2" x14ac:dyDescent="0.35">
      <c r="A9" s="7" t="s">
        <v>16</v>
      </c>
      <c r="B9" s="2"/>
    </row>
    <row r="10" spans="1:2" x14ac:dyDescent="0.35">
      <c r="A10" s="7" t="s">
        <v>26</v>
      </c>
      <c r="B10" s="2"/>
    </row>
    <row r="11" spans="1:2" x14ac:dyDescent="0.35">
      <c r="A11" s="7" t="s">
        <v>17</v>
      </c>
      <c r="B11" s="2"/>
    </row>
    <row r="12" spans="1:2" x14ac:dyDescent="0.35">
      <c r="A12" s="7" t="s">
        <v>19</v>
      </c>
      <c r="B12" s="2"/>
    </row>
    <row r="13" spans="1:2" x14ac:dyDescent="0.35">
      <c r="A13" s="7" t="s">
        <v>14</v>
      </c>
      <c r="B13" s="2"/>
    </row>
    <row r="14" spans="1:2" x14ac:dyDescent="0.35">
      <c r="A14" s="7" t="s">
        <v>23</v>
      </c>
      <c r="B14" s="2"/>
    </row>
    <row r="15" spans="1:2" x14ac:dyDescent="0.35">
      <c r="A15" s="7" t="s">
        <v>24</v>
      </c>
      <c r="B15" s="2"/>
    </row>
    <row r="16" spans="1:2" x14ac:dyDescent="0.35">
      <c r="A16" s="7" t="s">
        <v>20</v>
      </c>
      <c r="B16" s="2"/>
    </row>
    <row r="17" spans="1:4" x14ac:dyDescent="0.35">
      <c r="A17" s="7" t="s">
        <v>15</v>
      </c>
      <c r="B17" s="2"/>
    </row>
    <row r="18" spans="1:4" x14ac:dyDescent="0.35">
      <c r="A18" s="7" t="s">
        <v>9</v>
      </c>
      <c r="B18" s="2"/>
    </row>
    <row r="19" spans="1:4" x14ac:dyDescent="0.35">
      <c r="A19" s="7" t="s">
        <v>27</v>
      </c>
      <c r="B19" s="2"/>
    </row>
    <row r="20" spans="1:4" x14ac:dyDescent="0.35">
      <c r="A20" s="18" t="s">
        <v>64</v>
      </c>
      <c r="B20" s="19"/>
      <c r="C20" s="5"/>
      <c r="D20" s="20"/>
    </row>
  </sheetData>
  <conditionalFormatting sqref="B9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9"/>
  <sheetViews>
    <sheetView workbookViewId="0">
      <selection activeCell="A2" sqref="A2:XFD393"/>
    </sheetView>
  </sheetViews>
  <sheetFormatPr baseColWidth="10" defaultRowHeight="12" x14ac:dyDescent="0.3"/>
  <cols>
    <col min="1" max="1" width="11" style="26" customWidth="1"/>
    <col min="2" max="2" width="30.7265625" style="26" bestFit="1" customWidth="1"/>
    <col min="3" max="3" width="12.453125" style="26" bestFit="1" customWidth="1"/>
    <col min="4" max="4" width="17.6328125" style="28" bestFit="1" customWidth="1"/>
    <col min="5" max="5" width="10.453125" style="29" bestFit="1" customWidth="1"/>
    <col min="6" max="6" width="14.7265625" style="26" bestFit="1" customWidth="1"/>
    <col min="7" max="7" width="19.26953125" style="26" bestFit="1" customWidth="1"/>
    <col min="8" max="8" width="16.1796875" style="26" bestFit="1" customWidth="1"/>
    <col min="9" max="9" width="14.6328125" style="26" bestFit="1" customWidth="1"/>
    <col min="10" max="10" width="12.1796875" style="26" bestFit="1" customWidth="1"/>
    <col min="11" max="11" width="13" style="26" bestFit="1" customWidth="1"/>
    <col min="12" max="16384" width="10.90625" style="26"/>
  </cols>
  <sheetData>
    <row r="1" spans="1:11" x14ac:dyDescent="0.3">
      <c r="A1" s="22" t="s">
        <v>1</v>
      </c>
      <c r="B1" s="22" t="s">
        <v>3</v>
      </c>
      <c r="C1" s="22" t="s">
        <v>4</v>
      </c>
      <c r="D1" s="23" t="s">
        <v>7</v>
      </c>
      <c r="E1" s="24" t="s">
        <v>48</v>
      </c>
      <c r="F1" s="25" t="s">
        <v>49</v>
      </c>
      <c r="G1" s="25" t="s">
        <v>50</v>
      </c>
      <c r="H1" s="25" t="s">
        <v>54</v>
      </c>
      <c r="I1" s="25" t="s">
        <v>51</v>
      </c>
      <c r="J1" s="25" t="s">
        <v>52</v>
      </c>
      <c r="K1" s="25" t="s">
        <v>53</v>
      </c>
    </row>
    <row r="2" spans="1:11" x14ac:dyDescent="0.3">
      <c r="A2" s="36"/>
      <c r="B2" s="13"/>
      <c r="C2" s="13"/>
      <c r="D2" s="14"/>
      <c r="E2" s="30"/>
      <c r="F2" s="21"/>
      <c r="G2" s="21"/>
      <c r="H2" s="13"/>
      <c r="I2" s="13"/>
      <c r="J2" s="13"/>
      <c r="K2" s="13"/>
    </row>
    <row r="3" spans="1:11" x14ac:dyDescent="0.3">
      <c r="A3" s="36"/>
      <c r="B3" s="13"/>
      <c r="C3" s="13"/>
      <c r="D3" s="14"/>
      <c r="E3" s="27"/>
      <c r="F3" s="21"/>
      <c r="G3" s="21"/>
      <c r="H3" s="13"/>
      <c r="I3" s="13"/>
      <c r="J3" s="13"/>
      <c r="K3" s="13"/>
    </row>
    <row r="4" spans="1:11" x14ac:dyDescent="0.3">
      <c r="A4" s="36"/>
      <c r="B4" s="13"/>
      <c r="C4" s="13"/>
      <c r="D4" s="14"/>
      <c r="E4" s="27"/>
      <c r="F4" s="13"/>
      <c r="G4" s="21"/>
      <c r="H4" s="13"/>
      <c r="I4" s="13"/>
      <c r="J4" s="13"/>
      <c r="K4" s="13"/>
    </row>
    <row r="5" spans="1:11" x14ac:dyDescent="0.3">
      <c r="A5" s="36"/>
      <c r="B5" s="13"/>
      <c r="C5" s="13"/>
      <c r="D5" s="14"/>
      <c r="E5" s="27"/>
      <c r="F5" s="13"/>
      <c r="G5" s="13"/>
      <c r="H5" s="13"/>
      <c r="I5" s="13"/>
      <c r="J5" s="13"/>
      <c r="K5" s="13"/>
    </row>
    <row r="6" spans="1:11" ht="14.5" customHeight="1" x14ac:dyDescent="0.3">
      <c r="A6" s="36"/>
      <c r="B6" s="13"/>
      <c r="C6" s="13"/>
      <c r="D6" s="14"/>
      <c r="E6" s="27"/>
      <c r="F6" s="13"/>
      <c r="G6" s="13"/>
      <c r="H6" s="13"/>
      <c r="I6" s="13"/>
      <c r="J6" s="13"/>
      <c r="K6" s="13"/>
    </row>
    <row r="7" spans="1:11" x14ac:dyDescent="0.3">
      <c r="A7" s="36"/>
      <c r="B7" s="13"/>
      <c r="C7" s="13"/>
      <c r="D7" s="14"/>
      <c r="E7" s="27"/>
      <c r="F7" s="13"/>
      <c r="G7" s="13"/>
      <c r="H7" s="13"/>
      <c r="I7" s="13"/>
      <c r="J7" s="13"/>
      <c r="K7" s="13"/>
    </row>
    <row r="8" spans="1:11" x14ac:dyDescent="0.3">
      <c r="A8" s="36"/>
      <c r="B8" s="13"/>
      <c r="C8" s="13"/>
      <c r="D8" s="14"/>
      <c r="E8" s="27"/>
      <c r="F8" s="13"/>
      <c r="G8" s="13"/>
      <c r="H8" s="13"/>
      <c r="I8" s="13"/>
      <c r="J8" s="13"/>
      <c r="K8" s="13"/>
    </row>
    <row r="9" spans="1:11" x14ac:dyDescent="0.3">
      <c r="A9" s="36"/>
      <c r="B9" s="13"/>
      <c r="C9" s="13"/>
      <c r="D9" s="14"/>
      <c r="E9" s="27"/>
      <c r="F9" s="13"/>
      <c r="G9" s="13"/>
      <c r="H9" s="13"/>
      <c r="I9" s="13"/>
      <c r="J9" s="13"/>
      <c r="K9" s="13"/>
    </row>
    <row r="10" spans="1:11" x14ac:dyDescent="0.3">
      <c r="A10" s="36"/>
      <c r="B10" s="13"/>
      <c r="C10" s="13"/>
      <c r="D10" s="14"/>
      <c r="E10" s="27"/>
      <c r="F10" s="13"/>
      <c r="G10" s="13"/>
      <c r="H10" s="13"/>
      <c r="I10" s="13"/>
      <c r="J10" s="13"/>
      <c r="K10" s="13"/>
    </row>
    <row r="11" spans="1:11" x14ac:dyDescent="0.3">
      <c r="A11" s="36"/>
      <c r="B11" s="13"/>
      <c r="C11" s="13"/>
      <c r="D11" s="14"/>
      <c r="E11" s="27"/>
      <c r="F11" s="13"/>
      <c r="G11" s="13"/>
      <c r="H11" s="13"/>
      <c r="I11" s="13"/>
      <c r="J11" s="13"/>
      <c r="K11" s="13"/>
    </row>
    <row r="12" spans="1:11" x14ac:dyDescent="0.3">
      <c r="A12" s="36"/>
      <c r="B12" s="13"/>
      <c r="C12" s="13"/>
      <c r="D12" s="14"/>
      <c r="E12" s="27"/>
      <c r="F12" s="13"/>
      <c r="G12" s="13"/>
      <c r="H12" s="13"/>
      <c r="I12" s="13"/>
      <c r="J12" s="13"/>
      <c r="K12" s="13"/>
    </row>
    <row r="13" spans="1:11" x14ac:dyDescent="0.3">
      <c r="A13" s="36"/>
      <c r="B13" s="13"/>
      <c r="C13" s="13"/>
      <c r="D13" s="14"/>
      <c r="E13" s="27"/>
      <c r="F13" s="13"/>
      <c r="G13" s="13"/>
      <c r="H13" s="13"/>
      <c r="I13" s="13"/>
      <c r="J13" s="13"/>
      <c r="K13" s="13"/>
    </row>
    <row r="14" spans="1:11" x14ac:dyDescent="0.3">
      <c r="A14" s="36"/>
      <c r="B14" s="13"/>
      <c r="C14" s="13"/>
      <c r="D14" s="14"/>
      <c r="E14" s="27"/>
      <c r="F14" s="13"/>
      <c r="G14" s="13"/>
      <c r="H14" s="13"/>
      <c r="I14" s="13"/>
      <c r="J14" s="13"/>
      <c r="K14" s="13"/>
    </row>
    <row r="15" spans="1:11" x14ac:dyDescent="0.3">
      <c r="A15" s="36"/>
      <c r="B15" s="13"/>
      <c r="C15" s="13"/>
      <c r="D15" s="14"/>
      <c r="E15" s="27"/>
      <c r="F15" s="13"/>
      <c r="G15" s="13"/>
      <c r="H15" s="13"/>
      <c r="I15" s="13"/>
      <c r="J15" s="13"/>
      <c r="K15" s="13"/>
    </row>
    <row r="16" spans="1:11" x14ac:dyDescent="0.3">
      <c r="A16" s="36"/>
      <c r="B16" s="13"/>
      <c r="C16" s="13"/>
      <c r="D16" s="14"/>
      <c r="E16" s="27"/>
      <c r="F16" s="13"/>
      <c r="G16" s="13"/>
      <c r="H16" s="13"/>
      <c r="I16" s="13"/>
      <c r="J16" s="13"/>
      <c r="K16" s="13"/>
    </row>
    <row r="17" spans="1:11" x14ac:dyDescent="0.3">
      <c r="A17" s="36"/>
      <c r="B17" s="13"/>
      <c r="C17" s="13"/>
      <c r="D17" s="14"/>
      <c r="E17" s="27"/>
      <c r="F17" s="13"/>
      <c r="G17" s="13"/>
      <c r="H17" s="13"/>
      <c r="I17" s="13"/>
      <c r="J17" s="13"/>
      <c r="K17" s="13"/>
    </row>
    <row r="18" spans="1:11" x14ac:dyDescent="0.3">
      <c r="A18" s="36"/>
      <c r="B18" s="13"/>
      <c r="C18" s="13"/>
      <c r="D18" s="14"/>
      <c r="E18" s="27"/>
      <c r="F18" s="13"/>
      <c r="G18" s="13"/>
      <c r="H18" s="13"/>
      <c r="I18" s="13"/>
      <c r="J18" s="13"/>
      <c r="K18" s="13"/>
    </row>
    <row r="19" spans="1:11" x14ac:dyDescent="0.3">
      <c r="A19" s="36"/>
      <c r="B19" s="13"/>
      <c r="C19" s="13"/>
      <c r="D19" s="14"/>
      <c r="E19" s="27"/>
      <c r="F19" s="13"/>
      <c r="G19" s="13"/>
      <c r="H19" s="13"/>
      <c r="I19" s="13"/>
      <c r="J19" s="13"/>
      <c r="K19" s="13"/>
    </row>
    <row r="20" spans="1:11" x14ac:dyDescent="0.3">
      <c r="A20" s="13"/>
      <c r="B20" s="13"/>
      <c r="C20" s="13"/>
      <c r="D20" s="14"/>
      <c r="E20" s="27"/>
      <c r="F20" s="13"/>
      <c r="G20" s="13"/>
      <c r="H20" s="13"/>
      <c r="I20" s="13"/>
      <c r="J20" s="13"/>
      <c r="K20" s="13"/>
    </row>
    <row r="21" spans="1:11" x14ac:dyDescent="0.3">
      <c r="A21" s="13"/>
      <c r="B21" s="13"/>
      <c r="C21" s="13"/>
      <c r="D21" s="14"/>
      <c r="E21" s="27"/>
      <c r="F21" s="13"/>
      <c r="G21" s="13"/>
      <c r="H21" s="13"/>
      <c r="I21" s="13"/>
      <c r="J21" s="13"/>
      <c r="K21" s="13"/>
    </row>
    <row r="22" spans="1:11" x14ac:dyDescent="0.3">
      <c r="A22" s="13"/>
      <c r="B22" s="13"/>
      <c r="C22" s="13"/>
      <c r="D22" s="14"/>
      <c r="E22" s="27"/>
      <c r="F22" s="13"/>
      <c r="G22" s="13"/>
      <c r="H22" s="13"/>
      <c r="I22" s="13"/>
      <c r="J22" s="13"/>
      <c r="K22" s="13"/>
    </row>
    <row r="23" spans="1:11" x14ac:dyDescent="0.3">
      <c r="A23" s="13"/>
      <c r="B23" s="13"/>
      <c r="C23" s="13"/>
      <c r="D23" s="14"/>
      <c r="E23" s="27"/>
      <c r="F23" s="13"/>
      <c r="G23" s="13"/>
      <c r="H23" s="13"/>
      <c r="I23" s="13"/>
      <c r="J23" s="13"/>
      <c r="K23" s="13"/>
    </row>
    <row r="24" spans="1:11" x14ac:dyDescent="0.3">
      <c r="A24" s="13"/>
      <c r="B24" s="13"/>
      <c r="C24" s="13"/>
      <c r="D24" s="14"/>
      <c r="E24" s="27"/>
      <c r="F24" s="13"/>
      <c r="G24" s="13"/>
      <c r="H24" s="13"/>
      <c r="I24" s="13"/>
      <c r="J24" s="13"/>
      <c r="K24" s="13"/>
    </row>
    <row r="25" spans="1:11" x14ac:dyDescent="0.3">
      <c r="A25" s="13"/>
      <c r="B25" s="13"/>
      <c r="C25" s="13"/>
      <c r="D25" s="14"/>
      <c r="E25" s="27"/>
      <c r="F25" s="13"/>
      <c r="G25" s="13"/>
      <c r="H25" s="13"/>
      <c r="I25" s="13"/>
      <c r="J25" s="13"/>
      <c r="K25" s="13"/>
    </row>
    <row r="26" spans="1:11" x14ac:dyDescent="0.3">
      <c r="A26" s="13"/>
      <c r="B26" s="13"/>
      <c r="C26" s="13"/>
      <c r="D26" s="14"/>
      <c r="E26" s="27"/>
      <c r="F26" s="13"/>
      <c r="G26" s="13"/>
      <c r="H26" s="13"/>
      <c r="I26" s="13"/>
      <c r="J26" s="13"/>
      <c r="K26" s="13"/>
    </row>
    <row r="27" spans="1:11" x14ac:dyDescent="0.3">
      <c r="A27" s="13"/>
      <c r="B27" s="13"/>
      <c r="C27" s="13"/>
      <c r="D27" s="14"/>
      <c r="E27" s="27"/>
      <c r="F27" s="13"/>
      <c r="G27" s="13"/>
      <c r="H27" s="13"/>
      <c r="I27" s="13"/>
      <c r="J27" s="13"/>
      <c r="K27" s="13"/>
    </row>
    <row r="28" spans="1:11" x14ac:dyDescent="0.3">
      <c r="A28" s="13"/>
      <c r="B28" s="13"/>
      <c r="C28" s="13"/>
      <c r="D28" s="14"/>
      <c r="E28" s="27"/>
      <c r="F28" s="13"/>
      <c r="G28" s="13"/>
      <c r="H28" s="13"/>
      <c r="I28" s="13"/>
      <c r="J28" s="13"/>
      <c r="K28" s="13"/>
    </row>
    <row r="29" spans="1:11" x14ac:dyDescent="0.3">
      <c r="A29" s="13"/>
      <c r="B29" s="13"/>
      <c r="C29" s="13"/>
      <c r="D29" s="14"/>
      <c r="E29" s="27"/>
      <c r="F29" s="13"/>
      <c r="G29" s="13"/>
      <c r="H29" s="13"/>
      <c r="I29" s="13"/>
      <c r="J29" s="13"/>
      <c r="K29" s="13"/>
    </row>
    <row r="30" spans="1:11" x14ac:dyDescent="0.3">
      <c r="A30" s="13"/>
      <c r="B30" s="13"/>
      <c r="C30" s="13"/>
      <c r="D30" s="14"/>
      <c r="E30" s="27"/>
      <c r="F30" s="13"/>
      <c r="G30" s="13"/>
      <c r="H30" s="13"/>
      <c r="I30" s="13"/>
      <c r="J30" s="13"/>
      <c r="K30" s="13"/>
    </row>
    <row r="31" spans="1:11" x14ac:dyDescent="0.3">
      <c r="A31" s="13"/>
      <c r="B31" s="13"/>
      <c r="C31" s="13"/>
      <c r="D31" s="14"/>
      <c r="E31" s="27"/>
      <c r="F31" s="13"/>
      <c r="G31" s="13"/>
      <c r="H31" s="13"/>
      <c r="I31" s="13"/>
      <c r="J31" s="13"/>
      <c r="K31" s="13"/>
    </row>
    <row r="32" spans="1:11" x14ac:dyDescent="0.3">
      <c r="A32" s="13"/>
      <c r="B32" s="13"/>
      <c r="C32" s="13"/>
      <c r="D32" s="14"/>
      <c r="E32" s="27"/>
      <c r="F32" s="13"/>
      <c r="G32" s="13"/>
      <c r="H32" s="13"/>
      <c r="I32" s="13"/>
      <c r="J32" s="13"/>
      <c r="K32" s="13"/>
    </row>
    <row r="33" spans="1:11" x14ac:dyDescent="0.3">
      <c r="A33" s="13"/>
      <c r="B33" s="13"/>
      <c r="C33" s="13"/>
      <c r="D33" s="14"/>
      <c r="E33" s="27"/>
      <c r="F33" s="13"/>
      <c r="G33" s="13"/>
      <c r="H33" s="13"/>
      <c r="I33" s="13"/>
      <c r="J33" s="13"/>
      <c r="K33" s="13"/>
    </row>
    <row r="34" spans="1:11" x14ac:dyDescent="0.3">
      <c r="A34" s="13"/>
      <c r="B34" s="13"/>
      <c r="C34" s="13"/>
      <c r="D34" s="14"/>
      <c r="E34" s="27"/>
      <c r="F34" s="13"/>
      <c r="G34" s="13"/>
      <c r="H34" s="13"/>
      <c r="I34" s="13"/>
      <c r="J34" s="13"/>
      <c r="K34" s="13"/>
    </row>
    <row r="35" spans="1:11" x14ac:dyDescent="0.3">
      <c r="A35" s="13"/>
      <c r="B35" s="13"/>
      <c r="C35" s="13"/>
      <c r="D35" s="14"/>
      <c r="E35" s="27"/>
      <c r="F35" s="13"/>
      <c r="G35" s="13"/>
      <c r="H35" s="13"/>
      <c r="I35" s="13"/>
      <c r="J35" s="13"/>
      <c r="K35" s="13"/>
    </row>
    <row r="36" spans="1:11" x14ac:dyDescent="0.3">
      <c r="A36" s="13"/>
      <c r="B36" s="13"/>
      <c r="C36" s="13"/>
      <c r="D36" s="14"/>
      <c r="E36" s="27"/>
      <c r="F36" s="13"/>
      <c r="G36" s="13"/>
      <c r="H36" s="13"/>
      <c r="I36" s="13"/>
      <c r="J36" s="13"/>
      <c r="K36" s="13"/>
    </row>
    <row r="37" spans="1:11" x14ac:dyDescent="0.3">
      <c r="A37" s="13"/>
      <c r="B37" s="13"/>
      <c r="C37" s="13"/>
      <c r="D37" s="14"/>
      <c r="E37" s="27"/>
      <c r="F37" s="13"/>
      <c r="G37" s="13"/>
      <c r="H37" s="13"/>
      <c r="I37" s="13"/>
      <c r="J37" s="13"/>
      <c r="K37" s="13"/>
    </row>
    <row r="38" spans="1:11" x14ac:dyDescent="0.3">
      <c r="A38" s="13"/>
      <c r="B38" s="13"/>
      <c r="C38" s="13"/>
      <c r="D38" s="14"/>
      <c r="E38" s="27"/>
      <c r="F38" s="13"/>
      <c r="G38" s="13"/>
      <c r="H38" s="13"/>
      <c r="I38" s="13"/>
      <c r="J38" s="13"/>
      <c r="K38" s="13"/>
    </row>
    <row r="39" spans="1:11" x14ac:dyDescent="0.3">
      <c r="A39" s="13"/>
      <c r="B39" s="13"/>
      <c r="C39" s="13"/>
      <c r="D39" s="14"/>
      <c r="E39" s="27"/>
      <c r="F39" s="13"/>
      <c r="G39" s="13"/>
      <c r="H39" s="13"/>
      <c r="I39" s="13"/>
      <c r="J39" s="13"/>
      <c r="K39" s="13"/>
    </row>
    <row r="40" spans="1:11" x14ac:dyDescent="0.3">
      <c r="A40" s="13"/>
      <c r="B40" s="13"/>
      <c r="C40" s="13"/>
      <c r="D40" s="14"/>
      <c r="E40" s="27"/>
      <c r="F40" s="13"/>
      <c r="G40" s="13"/>
      <c r="H40" s="13"/>
      <c r="I40" s="13"/>
      <c r="J40" s="13"/>
      <c r="K40" s="13"/>
    </row>
    <row r="41" spans="1:11" x14ac:dyDescent="0.3">
      <c r="A41" s="13"/>
      <c r="B41" s="13"/>
      <c r="C41" s="13"/>
      <c r="D41" s="14"/>
      <c r="E41" s="27"/>
      <c r="F41" s="13"/>
      <c r="G41" s="13"/>
      <c r="H41" s="13"/>
      <c r="I41" s="13"/>
      <c r="J41" s="13"/>
      <c r="K41" s="13"/>
    </row>
    <row r="42" spans="1:11" x14ac:dyDescent="0.3">
      <c r="A42" s="13"/>
      <c r="B42" s="13"/>
      <c r="C42" s="13"/>
      <c r="D42" s="14"/>
      <c r="E42" s="27"/>
      <c r="F42" s="13"/>
      <c r="G42" s="13"/>
      <c r="H42" s="13"/>
      <c r="I42" s="13"/>
      <c r="J42" s="13"/>
      <c r="K42" s="13"/>
    </row>
    <row r="43" spans="1:11" x14ac:dyDescent="0.3">
      <c r="A43" s="13"/>
      <c r="B43" s="13"/>
      <c r="C43" s="13"/>
      <c r="D43" s="14"/>
      <c r="E43" s="27"/>
      <c r="F43" s="13"/>
      <c r="G43" s="13"/>
      <c r="H43" s="13"/>
      <c r="I43" s="13"/>
      <c r="J43" s="13"/>
      <c r="K43" s="13"/>
    </row>
    <row r="44" spans="1:11" x14ac:dyDescent="0.3">
      <c r="A44" s="13"/>
      <c r="B44" s="13"/>
      <c r="C44" s="13"/>
      <c r="D44" s="14"/>
      <c r="E44" s="27"/>
      <c r="F44" s="13"/>
      <c r="G44" s="13"/>
      <c r="H44" s="13"/>
      <c r="I44" s="13"/>
      <c r="J44" s="13"/>
      <c r="K44" s="13"/>
    </row>
    <row r="45" spans="1:11" x14ac:dyDescent="0.3">
      <c r="A45" s="13"/>
      <c r="B45" s="13"/>
      <c r="C45" s="13"/>
      <c r="D45" s="14"/>
      <c r="E45" s="27"/>
      <c r="F45" s="13"/>
      <c r="G45" s="13"/>
      <c r="H45" s="13"/>
      <c r="I45" s="13"/>
      <c r="J45" s="13"/>
      <c r="K45" s="13"/>
    </row>
    <row r="46" spans="1:11" x14ac:dyDescent="0.3">
      <c r="A46" s="13"/>
      <c r="B46" s="13"/>
      <c r="C46" s="13"/>
      <c r="D46" s="14"/>
      <c r="E46" s="27"/>
      <c r="F46" s="13"/>
      <c r="G46" s="13"/>
      <c r="H46" s="13"/>
      <c r="I46" s="13"/>
      <c r="J46" s="13"/>
      <c r="K46" s="13"/>
    </row>
    <row r="47" spans="1:11" x14ac:dyDescent="0.3">
      <c r="A47" s="13"/>
      <c r="B47" s="13"/>
      <c r="C47" s="13"/>
      <c r="D47" s="14"/>
      <c r="E47" s="27"/>
      <c r="F47" s="13"/>
      <c r="G47" s="13"/>
      <c r="H47" s="13"/>
      <c r="I47" s="13"/>
      <c r="J47" s="13"/>
      <c r="K47" s="13"/>
    </row>
    <row r="48" spans="1:11" x14ac:dyDescent="0.3">
      <c r="A48" s="13"/>
      <c r="B48" s="13"/>
      <c r="C48" s="13"/>
      <c r="D48" s="14"/>
      <c r="E48" s="27"/>
      <c r="F48" s="13"/>
      <c r="G48" s="13"/>
      <c r="H48" s="13"/>
      <c r="I48" s="13"/>
      <c r="J48" s="13"/>
      <c r="K48" s="13"/>
    </row>
    <row r="49" spans="1:11" x14ac:dyDescent="0.3">
      <c r="A49" s="13"/>
      <c r="B49" s="13"/>
      <c r="C49" s="13"/>
      <c r="D49" s="14"/>
      <c r="E49" s="27"/>
      <c r="F49" s="13"/>
      <c r="G49" s="13"/>
      <c r="H49" s="13"/>
      <c r="I49" s="13"/>
      <c r="J49" s="13"/>
      <c r="K49" s="13"/>
    </row>
    <row r="50" spans="1:11" x14ac:dyDescent="0.3">
      <c r="A50" s="13"/>
      <c r="B50" s="13"/>
      <c r="C50" s="13"/>
      <c r="D50" s="14"/>
      <c r="E50" s="27"/>
      <c r="F50" s="13"/>
      <c r="G50" s="13"/>
      <c r="H50" s="13"/>
      <c r="I50" s="13"/>
      <c r="J50" s="13"/>
      <c r="K50" s="13"/>
    </row>
    <row r="51" spans="1:11" x14ac:dyDescent="0.3">
      <c r="A51" s="13"/>
      <c r="B51" s="13"/>
      <c r="C51" s="13"/>
      <c r="D51" s="14"/>
      <c r="E51" s="27"/>
      <c r="F51" s="13"/>
      <c r="G51" s="13"/>
      <c r="H51" s="13"/>
      <c r="I51" s="13"/>
      <c r="J51" s="13"/>
      <c r="K51" s="13"/>
    </row>
    <row r="52" spans="1:11" x14ac:dyDescent="0.3">
      <c r="A52" s="13"/>
      <c r="B52" s="13"/>
      <c r="C52" s="13"/>
      <c r="D52" s="14"/>
      <c r="E52" s="27"/>
      <c r="F52" s="13"/>
      <c r="G52" s="13"/>
      <c r="H52" s="13"/>
      <c r="I52" s="13"/>
      <c r="J52" s="13"/>
      <c r="K52" s="13"/>
    </row>
    <row r="53" spans="1:11" x14ac:dyDescent="0.3">
      <c r="A53" s="13"/>
      <c r="B53" s="13"/>
      <c r="C53" s="13"/>
      <c r="D53" s="14"/>
      <c r="E53" s="27"/>
      <c r="F53" s="13"/>
      <c r="G53" s="13"/>
      <c r="H53" s="13"/>
      <c r="I53" s="13"/>
      <c r="J53" s="13"/>
      <c r="K53" s="13"/>
    </row>
    <row r="54" spans="1:11" x14ac:dyDescent="0.3">
      <c r="A54" s="13"/>
      <c r="B54" s="13"/>
      <c r="C54" s="13"/>
      <c r="D54" s="14"/>
      <c r="E54" s="27"/>
      <c r="F54" s="13"/>
      <c r="G54" s="13"/>
      <c r="H54" s="13"/>
      <c r="I54" s="13"/>
      <c r="J54" s="13"/>
      <c r="K54" s="13"/>
    </row>
    <row r="55" spans="1:11" x14ac:dyDescent="0.3">
      <c r="A55" s="13"/>
      <c r="B55" s="13"/>
      <c r="C55" s="13"/>
      <c r="D55" s="14"/>
      <c r="E55" s="27"/>
      <c r="F55" s="13"/>
      <c r="G55" s="13"/>
      <c r="H55" s="13"/>
      <c r="I55" s="13"/>
      <c r="J55" s="13"/>
      <c r="K55" s="13"/>
    </row>
    <row r="56" spans="1:11" x14ac:dyDescent="0.3">
      <c r="A56" s="13"/>
      <c r="B56" s="13"/>
      <c r="C56" s="13"/>
      <c r="D56" s="14"/>
      <c r="E56" s="27"/>
      <c r="F56" s="13"/>
      <c r="G56" s="13"/>
      <c r="H56" s="13"/>
      <c r="I56" s="13"/>
      <c r="J56" s="13"/>
      <c r="K56" s="13"/>
    </row>
    <row r="57" spans="1:11" x14ac:dyDescent="0.3">
      <c r="A57" s="13"/>
      <c r="B57" s="13"/>
      <c r="C57" s="13"/>
      <c r="D57" s="14"/>
      <c r="E57" s="27"/>
      <c r="F57" s="13"/>
      <c r="G57" s="13"/>
      <c r="H57" s="13"/>
      <c r="I57" s="13"/>
      <c r="J57" s="13"/>
      <c r="K57" s="13"/>
    </row>
    <row r="58" spans="1:11" x14ac:dyDescent="0.3">
      <c r="A58" s="13"/>
      <c r="B58" s="13"/>
      <c r="C58" s="13"/>
      <c r="D58" s="14"/>
      <c r="E58" s="27"/>
      <c r="F58" s="13"/>
      <c r="G58" s="13"/>
      <c r="H58" s="13"/>
      <c r="I58" s="13"/>
      <c r="J58" s="13"/>
      <c r="K58" s="13"/>
    </row>
    <row r="59" spans="1:11" x14ac:dyDescent="0.3">
      <c r="A59" s="13"/>
      <c r="B59" s="13"/>
      <c r="C59" s="13"/>
      <c r="D59" s="14"/>
      <c r="E59" s="27"/>
      <c r="F59" s="13"/>
      <c r="G59" s="13"/>
      <c r="H59" s="13"/>
      <c r="I59" s="13"/>
      <c r="J59" s="13"/>
      <c r="K59" s="13"/>
    </row>
    <row r="60" spans="1:11" x14ac:dyDescent="0.3">
      <c r="A60" s="13"/>
      <c r="B60" s="13"/>
      <c r="C60" s="13"/>
      <c r="D60" s="14"/>
      <c r="E60" s="27"/>
      <c r="F60" s="13"/>
      <c r="G60" s="13"/>
      <c r="H60" s="13"/>
      <c r="I60" s="13"/>
      <c r="J60" s="13"/>
      <c r="K60" s="13"/>
    </row>
    <row r="61" spans="1:11" x14ac:dyDescent="0.3">
      <c r="A61" s="13"/>
      <c r="B61" s="13"/>
      <c r="C61" s="13"/>
      <c r="D61" s="14"/>
      <c r="E61" s="27"/>
      <c r="F61" s="13"/>
      <c r="G61" s="13"/>
      <c r="H61" s="13"/>
      <c r="I61" s="13"/>
      <c r="J61" s="13"/>
      <c r="K61" s="13"/>
    </row>
    <row r="62" spans="1:11" x14ac:dyDescent="0.3">
      <c r="A62" s="13"/>
      <c r="B62" s="13"/>
      <c r="C62" s="13"/>
      <c r="D62" s="14"/>
      <c r="E62" s="27"/>
      <c r="F62" s="13"/>
      <c r="G62" s="13"/>
      <c r="H62" s="13"/>
      <c r="I62" s="13"/>
      <c r="J62" s="13"/>
      <c r="K62" s="13"/>
    </row>
    <row r="63" spans="1:11" x14ac:dyDescent="0.3">
      <c r="A63" s="13"/>
      <c r="B63" s="13"/>
      <c r="C63" s="13"/>
      <c r="D63" s="14"/>
      <c r="E63" s="27"/>
      <c r="F63" s="13"/>
      <c r="G63" s="13"/>
      <c r="H63" s="13"/>
      <c r="I63" s="13"/>
      <c r="J63" s="13"/>
      <c r="K63" s="13"/>
    </row>
    <row r="64" spans="1:11" x14ac:dyDescent="0.3">
      <c r="A64" s="13"/>
      <c r="B64" s="13"/>
      <c r="C64" s="13"/>
      <c r="D64" s="14"/>
      <c r="E64" s="27"/>
      <c r="F64" s="13"/>
      <c r="G64" s="13"/>
      <c r="H64" s="13"/>
      <c r="I64" s="13"/>
      <c r="J64" s="13"/>
      <c r="K64" s="13"/>
    </row>
    <row r="65" spans="1:11" x14ac:dyDescent="0.3">
      <c r="A65" s="13"/>
      <c r="B65" s="13"/>
      <c r="C65" s="13"/>
      <c r="D65" s="14"/>
      <c r="E65" s="27"/>
      <c r="F65" s="13"/>
      <c r="G65" s="13"/>
      <c r="H65" s="13"/>
      <c r="I65" s="13"/>
      <c r="J65" s="13"/>
      <c r="K65" s="13"/>
    </row>
    <row r="66" spans="1:11" x14ac:dyDescent="0.3">
      <c r="A66" s="13"/>
      <c r="B66" s="13"/>
      <c r="C66" s="13"/>
      <c r="D66" s="14"/>
      <c r="E66" s="27"/>
      <c r="F66" s="13"/>
      <c r="G66" s="13"/>
      <c r="H66" s="13"/>
      <c r="I66" s="13"/>
      <c r="J66" s="13"/>
      <c r="K66" s="13"/>
    </row>
    <row r="67" spans="1:11" x14ac:dyDescent="0.3">
      <c r="A67" s="13"/>
      <c r="B67" s="13"/>
      <c r="C67" s="13"/>
      <c r="D67" s="14"/>
      <c r="E67" s="27"/>
      <c r="F67" s="13"/>
      <c r="G67" s="13"/>
      <c r="H67" s="13"/>
      <c r="I67" s="13"/>
      <c r="J67" s="13"/>
      <c r="K67" s="13"/>
    </row>
    <row r="68" spans="1:11" x14ac:dyDescent="0.3">
      <c r="A68" s="13"/>
      <c r="B68" s="13"/>
      <c r="C68" s="13"/>
      <c r="D68" s="14"/>
      <c r="E68" s="27"/>
      <c r="F68" s="13"/>
      <c r="G68" s="13"/>
      <c r="H68" s="13"/>
      <c r="I68" s="13"/>
      <c r="J68" s="13"/>
      <c r="K68" s="13"/>
    </row>
    <row r="69" spans="1:11" x14ac:dyDescent="0.3">
      <c r="A69" s="13"/>
      <c r="B69" s="13"/>
      <c r="C69" s="13"/>
      <c r="D69" s="14"/>
      <c r="E69" s="27"/>
      <c r="F69" s="13"/>
      <c r="G69" s="13"/>
      <c r="H69" s="13"/>
      <c r="I69" s="13"/>
      <c r="J69" s="13"/>
      <c r="K69" s="13"/>
    </row>
    <row r="70" spans="1:11" x14ac:dyDescent="0.3">
      <c r="A70" s="13"/>
      <c r="B70" s="13"/>
      <c r="C70" s="13"/>
      <c r="D70" s="14"/>
      <c r="E70" s="27"/>
      <c r="F70" s="13"/>
      <c r="G70" s="13"/>
      <c r="H70" s="13"/>
      <c r="I70" s="13"/>
      <c r="J70" s="13"/>
      <c r="K70" s="13"/>
    </row>
    <row r="71" spans="1:11" x14ac:dyDescent="0.3">
      <c r="A71" s="13"/>
      <c r="B71" s="13"/>
      <c r="C71" s="13"/>
      <c r="D71" s="14"/>
      <c r="E71" s="27"/>
      <c r="F71" s="13"/>
      <c r="G71" s="13"/>
      <c r="H71" s="13"/>
      <c r="I71" s="13"/>
      <c r="J71" s="13"/>
      <c r="K71" s="13"/>
    </row>
    <row r="72" spans="1:11" x14ac:dyDescent="0.3">
      <c r="A72" s="13"/>
      <c r="B72" s="13"/>
      <c r="C72" s="13"/>
      <c r="D72" s="14"/>
      <c r="E72" s="27"/>
      <c r="F72" s="13"/>
      <c r="G72" s="13"/>
      <c r="H72" s="13"/>
      <c r="I72" s="13"/>
      <c r="J72" s="13"/>
      <c r="K72" s="13"/>
    </row>
    <row r="73" spans="1:11" x14ac:dyDescent="0.3">
      <c r="A73" s="13"/>
      <c r="B73" s="13"/>
      <c r="C73" s="13"/>
      <c r="D73" s="14"/>
      <c r="E73" s="27"/>
      <c r="F73" s="13"/>
      <c r="G73" s="13"/>
      <c r="H73" s="13"/>
      <c r="I73" s="13"/>
      <c r="J73" s="13"/>
      <c r="K73" s="13"/>
    </row>
    <row r="74" spans="1:11" x14ac:dyDescent="0.3">
      <c r="A74" s="13"/>
      <c r="B74" s="13"/>
      <c r="C74" s="13"/>
      <c r="D74" s="14"/>
      <c r="E74" s="27"/>
      <c r="F74" s="13"/>
      <c r="G74" s="13"/>
      <c r="H74" s="13"/>
      <c r="I74" s="13"/>
      <c r="J74" s="13"/>
      <c r="K74" s="13"/>
    </row>
    <row r="75" spans="1:11" x14ac:dyDescent="0.3">
      <c r="A75" s="13"/>
      <c r="B75" s="13"/>
      <c r="C75" s="13"/>
      <c r="D75" s="14"/>
      <c r="E75" s="27"/>
      <c r="F75" s="13"/>
      <c r="G75" s="13"/>
      <c r="H75" s="13"/>
      <c r="I75" s="13"/>
      <c r="J75" s="13"/>
      <c r="K75" s="13"/>
    </row>
    <row r="76" spans="1:11" x14ac:dyDescent="0.3">
      <c r="A76" s="13"/>
      <c r="B76" s="13"/>
      <c r="C76" s="13"/>
      <c r="D76" s="14"/>
      <c r="E76" s="27"/>
      <c r="F76" s="13"/>
      <c r="G76" s="13"/>
      <c r="H76" s="13"/>
      <c r="I76" s="13"/>
      <c r="J76" s="13"/>
      <c r="K76" s="13"/>
    </row>
    <row r="77" spans="1:11" x14ac:dyDescent="0.3">
      <c r="A77" s="13"/>
      <c r="B77" s="13"/>
      <c r="C77" s="13"/>
      <c r="D77" s="14"/>
      <c r="E77" s="27"/>
      <c r="F77" s="13"/>
      <c r="G77" s="13"/>
      <c r="H77" s="13"/>
      <c r="I77" s="13"/>
      <c r="J77" s="13"/>
      <c r="K77" s="13"/>
    </row>
    <row r="78" spans="1:11" x14ac:dyDescent="0.3">
      <c r="A78" s="13"/>
      <c r="B78" s="13"/>
      <c r="C78" s="13"/>
      <c r="D78" s="14"/>
      <c r="E78" s="27"/>
      <c r="F78" s="13"/>
      <c r="G78" s="13"/>
      <c r="H78" s="13"/>
      <c r="I78" s="13"/>
      <c r="J78" s="13"/>
      <c r="K78" s="13"/>
    </row>
    <row r="79" spans="1:11" x14ac:dyDescent="0.3">
      <c r="A79" s="13"/>
      <c r="B79" s="13"/>
      <c r="C79" s="13"/>
      <c r="D79" s="14"/>
      <c r="E79" s="27"/>
      <c r="F79" s="13"/>
      <c r="G79" s="13"/>
      <c r="H79" s="13"/>
      <c r="I79" s="13"/>
      <c r="J79" s="13"/>
      <c r="K79" s="13"/>
    </row>
    <row r="80" spans="1:11" x14ac:dyDescent="0.3">
      <c r="A80" s="13"/>
      <c r="B80" s="13"/>
      <c r="C80" s="13"/>
      <c r="D80" s="14"/>
      <c r="E80" s="27"/>
      <c r="F80" s="13"/>
      <c r="G80" s="13"/>
      <c r="H80" s="13"/>
      <c r="I80" s="13"/>
      <c r="J80" s="13"/>
      <c r="K80" s="13"/>
    </row>
    <row r="81" spans="1:11" x14ac:dyDescent="0.3">
      <c r="A81" s="13"/>
      <c r="B81" s="13"/>
      <c r="C81" s="13"/>
      <c r="D81" s="14"/>
      <c r="E81" s="27"/>
      <c r="F81" s="13"/>
      <c r="G81" s="13"/>
      <c r="H81" s="13"/>
      <c r="I81" s="13"/>
      <c r="J81" s="13"/>
      <c r="K81" s="13"/>
    </row>
    <row r="82" spans="1:11" x14ac:dyDescent="0.3">
      <c r="A82" s="13"/>
      <c r="B82" s="13"/>
      <c r="C82" s="13"/>
      <c r="D82" s="14"/>
      <c r="E82" s="27"/>
      <c r="F82" s="13"/>
      <c r="G82" s="13"/>
      <c r="H82" s="13"/>
      <c r="I82" s="13"/>
      <c r="J82" s="13"/>
      <c r="K82" s="13"/>
    </row>
    <row r="83" spans="1:11" x14ac:dyDescent="0.3">
      <c r="A83" s="13"/>
      <c r="B83" s="13"/>
      <c r="C83" s="13"/>
      <c r="D83" s="14"/>
      <c r="E83" s="27"/>
      <c r="F83" s="13"/>
      <c r="G83" s="13"/>
      <c r="H83" s="13"/>
      <c r="I83" s="13"/>
      <c r="J83" s="13"/>
      <c r="K83" s="13"/>
    </row>
    <row r="84" spans="1:11" x14ac:dyDescent="0.3">
      <c r="A84" s="13"/>
      <c r="B84" s="13"/>
      <c r="C84" s="13"/>
      <c r="D84" s="14"/>
      <c r="E84" s="27"/>
      <c r="F84" s="13"/>
      <c r="G84" s="13"/>
      <c r="H84" s="13"/>
      <c r="I84" s="13"/>
      <c r="J84" s="13"/>
      <c r="K84" s="13"/>
    </row>
    <row r="85" spans="1:11" x14ac:dyDescent="0.3">
      <c r="A85" s="13"/>
      <c r="B85" s="13"/>
      <c r="C85" s="13"/>
      <c r="D85" s="14"/>
      <c r="E85" s="27"/>
      <c r="F85" s="13"/>
      <c r="G85" s="13"/>
      <c r="H85" s="13"/>
      <c r="I85" s="13"/>
      <c r="J85" s="13"/>
      <c r="K85" s="13"/>
    </row>
    <row r="86" spans="1:11" x14ac:dyDescent="0.3">
      <c r="A86" s="13"/>
      <c r="B86" s="13"/>
      <c r="C86" s="13"/>
      <c r="D86" s="14"/>
      <c r="E86" s="27"/>
      <c r="F86" s="13"/>
      <c r="G86" s="13"/>
      <c r="H86" s="13"/>
      <c r="I86" s="13"/>
      <c r="J86" s="13"/>
      <c r="K86" s="13"/>
    </row>
    <row r="87" spans="1:11" x14ac:dyDescent="0.3">
      <c r="A87" s="13"/>
      <c r="B87" s="13"/>
      <c r="C87" s="13"/>
      <c r="D87" s="14"/>
      <c r="E87" s="27"/>
      <c r="F87" s="13"/>
      <c r="G87" s="13"/>
      <c r="H87" s="13"/>
      <c r="I87" s="13"/>
      <c r="J87" s="13"/>
      <c r="K87" s="13"/>
    </row>
    <row r="88" spans="1:11" x14ac:dyDescent="0.3">
      <c r="A88" s="13"/>
      <c r="B88" s="13"/>
      <c r="C88" s="13"/>
      <c r="D88" s="14"/>
      <c r="E88" s="27"/>
      <c r="F88" s="13"/>
      <c r="G88" s="13"/>
      <c r="H88" s="13"/>
      <c r="I88" s="13"/>
      <c r="J88" s="13"/>
      <c r="K88" s="13"/>
    </row>
    <row r="89" spans="1:11" x14ac:dyDescent="0.3">
      <c r="A89" s="13"/>
      <c r="B89" s="13"/>
      <c r="C89" s="13"/>
      <c r="D89" s="14"/>
      <c r="E89" s="27"/>
      <c r="F89" s="13"/>
      <c r="G89" s="13"/>
      <c r="H89" s="13"/>
      <c r="I89" s="13"/>
      <c r="J89" s="13"/>
      <c r="K89" s="13"/>
    </row>
    <row r="90" spans="1:11" x14ac:dyDescent="0.3">
      <c r="A90" s="13"/>
      <c r="B90" s="13"/>
      <c r="C90" s="13"/>
      <c r="D90" s="14"/>
      <c r="E90" s="27"/>
      <c r="F90" s="13"/>
      <c r="G90" s="13"/>
      <c r="H90" s="13"/>
      <c r="I90" s="13"/>
      <c r="J90" s="13"/>
      <c r="K90" s="13"/>
    </row>
    <row r="91" spans="1:11" x14ac:dyDescent="0.3">
      <c r="A91" s="13"/>
      <c r="B91" s="13"/>
      <c r="C91" s="13"/>
      <c r="D91" s="14"/>
      <c r="E91" s="27"/>
      <c r="F91" s="13"/>
      <c r="G91" s="13"/>
      <c r="H91" s="13"/>
      <c r="I91" s="13"/>
      <c r="J91" s="13"/>
      <c r="K91" s="13"/>
    </row>
    <row r="92" spans="1:11" x14ac:dyDescent="0.3">
      <c r="A92" s="13"/>
      <c r="B92" s="13"/>
      <c r="C92" s="13"/>
      <c r="D92" s="14"/>
      <c r="E92" s="27"/>
      <c r="F92" s="13"/>
      <c r="G92" s="13"/>
      <c r="H92" s="13"/>
      <c r="I92" s="13"/>
      <c r="J92" s="13"/>
      <c r="K92" s="13"/>
    </row>
    <row r="93" spans="1:11" x14ac:dyDescent="0.3">
      <c r="A93" s="13"/>
      <c r="B93" s="13"/>
      <c r="C93" s="13"/>
      <c r="D93" s="14"/>
      <c r="E93" s="27"/>
      <c r="F93" s="13"/>
      <c r="G93" s="13"/>
      <c r="H93" s="13"/>
      <c r="I93" s="13"/>
      <c r="J93" s="13"/>
      <c r="K93" s="13"/>
    </row>
    <row r="94" spans="1:11" x14ac:dyDescent="0.3">
      <c r="A94" s="13"/>
      <c r="B94" s="13"/>
      <c r="C94" s="13"/>
      <c r="D94" s="14"/>
      <c r="E94" s="27"/>
      <c r="F94" s="13"/>
      <c r="G94" s="13"/>
      <c r="H94" s="13"/>
      <c r="I94" s="13"/>
      <c r="J94" s="13"/>
      <c r="K94" s="13"/>
    </row>
    <row r="95" spans="1:11" x14ac:dyDescent="0.3">
      <c r="A95" s="13"/>
      <c r="B95" s="13"/>
      <c r="C95" s="13"/>
      <c r="D95" s="14"/>
      <c r="E95" s="27"/>
      <c r="F95" s="13"/>
      <c r="G95" s="13"/>
      <c r="H95" s="13"/>
      <c r="I95" s="13"/>
      <c r="J95" s="13"/>
      <c r="K95" s="13"/>
    </row>
    <row r="96" spans="1:11" x14ac:dyDescent="0.3">
      <c r="A96" s="13"/>
      <c r="B96" s="13"/>
      <c r="C96" s="13"/>
      <c r="D96" s="14"/>
      <c r="E96" s="27"/>
      <c r="F96" s="13"/>
      <c r="G96" s="13"/>
      <c r="H96" s="13"/>
      <c r="I96" s="13"/>
      <c r="J96" s="13"/>
      <c r="K96" s="13"/>
    </row>
    <row r="97" spans="1:11" x14ac:dyDescent="0.3">
      <c r="A97" s="13"/>
      <c r="B97" s="13"/>
      <c r="C97" s="13"/>
      <c r="D97" s="14"/>
      <c r="E97" s="27"/>
      <c r="F97" s="13"/>
      <c r="G97" s="13"/>
      <c r="H97" s="13"/>
      <c r="I97" s="13"/>
      <c r="J97" s="13"/>
      <c r="K97" s="13"/>
    </row>
    <row r="98" spans="1:11" x14ac:dyDescent="0.3">
      <c r="A98" s="13"/>
      <c r="B98" s="13"/>
      <c r="C98" s="13"/>
      <c r="D98" s="14"/>
      <c r="E98" s="27"/>
      <c r="F98" s="13"/>
      <c r="G98" s="13"/>
      <c r="H98" s="13"/>
      <c r="I98" s="13"/>
      <c r="J98" s="13"/>
      <c r="K98" s="13"/>
    </row>
    <row r="99" spans="1:11" x14ac:dyDescent="0.3">
      <c r="A99" s="13"/>
      <c r="B99" s="13"/>
      <c r="C99" s="13"/>
      <c r="D99" s="14"/>
      <c r="E99" s="27"/>
      <c r="F99" s="13"/>
      <c r="G99" s="13"/>
      <c r="H99" s="13"/>
      <c r="I99" s="13"/>
      <c r="J99" s="13"/>
      <c r="K99" s="13"/>
    </row>
    <row r="100" spans="1:11" x14ac:dyDescent="0.3">
      <c r="A100" s="13"/>
      <c r="B100" s="13"/>
      <c r="C100" s="13"/>
      <c r="D100" s="14"/>
      <c r="E100" s="27"/>
      <c r="F100" s="13"/>
      <c r="G100" s="13"/>
      <c r="H100" s="13"/>
      <c r="I100" s="13"/>
      <c r="J100" s="13"/>
      <c r="K100" s="13"/>
    </row>
    <row r="101" spans="1:11" x14ac:dyDescent="0.3">
      <c r="A101" s="13"/>
      <c r="B101" s="13"/>
      <c r="C101" s="13"/>
      <c r="D101" s="14"/>
      <c r="E101" s="27"/>
      <c r="F101" s="13"/>
      <c r="G101" s="13"/>
      <c r="H101" s="13"/>
      <c r="I101" s="13"/>
      <c r="J101" s="13"/>
      <c r="K101" s="13"/>
    </row>
    <row r="102" spans="1:11" x14ac:dyDescent="0.3">
      <c r="A102" s="13"/>
      <c r="B102" s="13"/>
      <c r="C102" s="13"/>
      <c r="D102" s="14"/>
      <c r="E102" s="27"/>
      <c r="F102" s="13"/>
      <c r="G102" s="13"/>
      <c r="H102" s="13"/>
      <c r="I102" s="13"/>
      <c r="J102" s="13"/>
      <c r="K102" s="13"/>
    </row>
    <row r="103" spans="1:11" x14ac:dyDescent="0.3">
      <c r="A103" s="13"/>
      <c r="B103" s="13"/>
      <c r="C103" s="13"/>
      <c r="D103" s="14"/>
      <c r="E103" s="27"/>
      <c r="F103" s="13"/>
      <c r="G103" s="13"/>
      <c r="H103" s="13"/>
      <c r="I103" s="13"/>
      <c r="J103" s="13"/>
      <c r="K103" s="13"/>
    </row>
    <row r="104" spans="1:11" x14ac:dyDescent="0.3">
      <c r="A104" s="13"/>
      <c r="B104" s="13"/>
      <c r="C104" s="13"/>
      <c r="D104" s="14"/>
      <c r="E104" s="27"/>
      <c r="F104" s="13"/>
      <c r="G104" s="13"/>
      <c r="H104" s="13"/>
      <c r="I104" s="13"/>
      <c r="J104" s="13"/>
      <c r="K104" s="13"/>
    </row>
    <row r="105" spans="1:11" x14ac:dyDescent="0.3">
      <c r="A105" s="13"/>
      <c r="B105" s="13"/>
      <c r="C105" s="13"/>
      <c r="D105" s="14"/>
      <c r="E105" s="27"/>
      <c r="F105" s="13"/>
      <c r="G105" s="13"/>
      <c r="H105" s="13"/>
      <c r="I105" s="13"/>
      <c r="J105" s="13"/>
      <c r="K105" s="13"/>
    </row>
    <row r="106" spans="1:11" x14ac:dyDescent="0.3">
      <c r="A106" s="13"/>
      <c r="B106" s="13"/>
      <c r="C106" s="13"/>
      <c r="D106" s="14"/>
      <c r="E106" s="27"/>
      <c r="F106" s="13"/>
      <c r="G106" s="13"/>
      <c r="H106" s="13"/>
      <c r="I106" s="13"/>
      <c r="J106" s="13"/>
      <c r="K106" s="13"/>
    </row>
    <row r="107" spans="1:11" x14ac:dyDescent="0.3">
      <c r="A107" s="13"/>
      <c r="B107" s="13"/>
      <c r="C107" s="13"/>
      <c r="D107" s="14"/>
      <c r="E107" s="27"/>
      <c r="F107" s="13"/>
      <c r="G107" s="13"/>
      <c r="H107" s="13"/>
      <c r="I107" s="13"/>
      <c r="J107" s="13"/>
      <c r="K107" s="13"/>
    </row>
    <row r="108" spans="1:11" x14ac:dyDescent="0.3">
      <c r="A108" s="13"/>
      <c r="B108" s="13"/>
      <c r="C108" s="13"/>
      <c r="D108" s="14"/>
      <c r="E108" s="27"/>
      <c r="F108" s="13"/>
      <c r="G108" s="13"/>
      <c r="H108" s="13"/>
      <c r="I108" s="13"/>
      <c r="J108" s="13"/>
      <c r="K108" s="13"/>
    </row>
    <row r="109" spans="1:11" x14ac:dyDescent="0.3">
      <c r="A109" s="13"/>
      <c r="B109" s="13"/>
      <c r="C109" s="13"/>
      <c r="D109" s="14"/>
      <c r="E109" s="27"/>
      <c r="F109" s="13"/>
      <c r="G109" s="13"/>
      <c r="H109" s="13"/>
      <c r="I109" s="13"/>
      <c r="J109" s="13"/>
      <c r="K109" s="13"/>
    </row>
    <row r="110" spans="1:11" x14ac:dyDescent="0.3">
      <c r="A110" s="13"/>
      <c r="B110" s="13"/>
      <c r="C110" s="13"/>
      <c r="D110" s="14"/>
      <c r="E110" s="27"/>
      <c r="F110" s="13"/>
      <c r="G110" s="13"/>
      <c r="H110" s="13"/>
      <c r="I110" s="13"/>
      <c r="J110" s="13"/>
      <c r="K110" s="13"/>
    </row>
    <row r="111" spans="1:11" x14ac:dyDescent="0.3">
      <c r="A111" s="13"/>
      <c r="B111" s="13"/>
      <c r="C111" s="13"/>
      <c r="D111" s="14"/>
      <c r="E111" s="27"/>
      <c r="F111" s="13"/>
      <c r="G111" s="13"/>
      <c r="H111" s="13"/>
      <c r="I111" s="13"/>
      <c r="J111" s="13"/>
      <c r="K111" s="13"/>
    </row>
    <row r="112" spans="1:11" x14ac:dyDescent="0.3">
      <c r="A112" s="13"/>
      <c r="B112" s="13"/>
      <c r="C112" s="13"/>
      <c r="D112" s="14"/>
      <c r="E112" s="27"/>
      <c r="F112" s="13"/>
      <c r="G112" s="13"/>
      <c r="H112" s="13"/>
      <c r="I112" s="13"/>
      <c r="J112" s="13"/>
      <c r="K112" s="13"/>
    </row>
    <row r="113" spans="1:11" x14ac:dyDescent="0.3">
      <c r="A113" s="13"/>
      <c r="B113" s="13"/>
      <c r="C113" s="13"/>
      <c r="D113" s="14"/>
      <c r="E113" s="27"/>
      <c r="F113" s="13"/>
      <c r="G113" s="13"/>
      <c r="H113" s="13"/>
      <c r="I113" s="13"/>
      <c r="J113" s="13"/>
      <c r="K113" s="13"/>
    </row>
    <row r="114" spans="1:11" x14ac:dyDescent="0.3">
      <c r="A114" s="13"/>
      <c r="B114" s="13"/>
      <c r="C114" s="13"/>
      <c r="D114" s="14"/>
      <c r="E114" s="27"/>
      <c r="F114" s="13"/>
      <c r="G114" s="13"/>
      <c r="H114" s="13"/>
      <c r="I114" s="13"/>
      <c r="J114" s="13"/>
      <c r="K114" s="13"/>
    </row>
    <row r="115" spans="1:11" x14ac:dyDescent="0.3">
      <c r="A115" s="13"/>
      <c r="B115" s="13"/>
      <c r="C115" s="13"/>
      <c r="D115" s="14"/>
      <c r="E115" s="27"/>
      <c r="F115" s="13"/>
      <c r="G115" s="13"/>
      <c r="H115" s="13"/>
      <c r="I115" s="13"/>
      <c r="J115" s="13"/>
      <c r="K115" s="13"/>
    </row>
    <row r="116" spans="1:11" x14ac:dyDescent="0.3">
      <c r="A116" s="13"/>
      <c r="B116" s="13"/>
      <c r="C116" s="13"/>
      <c r="D116" s="14"/>
      <c r="E116" s="27"/>
      <c r="F116" s="13"/>
      <c r="G116" s="13"/>
      <c r="H116" s="13"/>
      <c r="I116" s="13"/>
      <c r="J116" s="13"/>
      <c r="K116" s="13"/>
    </row>
    <row r="117" spans="1:11" x14ac:dyDescent="0.3">
      <c r="A117" s="13"/>
      <c r="B117" s="13"/>
      <c r="C117" s="13"/>
      <c r="D117" s="14"/>
      <c r="E117" s="27"/>
      <c r="F117" s="13"/>
      <c r="G117" s="13"/>
      <c r="H117" s="13"/>
      <c r="I117" s="13"/>
      <c r="J117" s="13"/>
      <c r="K117" s="13"/>
    </row>
    <row r="118" spans="1:11" x14ac:dyDescent="0.3">
      <c r="A118" s="13"/>
      <c r="B118" s="13"/>
      <c r="C118" s="13"/>
      <c r="D118" s="14"/>
      <c r="E118" s="27"/>
      <c r="F118" s="13"/>
      <c r="G118" s="13"/>
      <c r="H118" s="13"/>
      <c r="I118" s="13"/>
      <c r="J118" s="13"/>
      <c r="K118" s="13"/>
    </row>
    <row r="119" spans="1:11" x14ac:dyDescent="0.3">
      <c r="A119" s="13"/>
      <c r="B119" s="13"/>
      <c r="C119" s="13"/>
      <c r="D119" s="14"/>
      <c r="E119" s="27"/>
      <c r="F119" s="13"/>
      <c r="G119" s="13"/>
      <c r="H119" s="13"/>
      <c r="I119" s="13"/>
      <c r="J119" s="13"/>
      <c r="K119" s="13"/>
    </row>
    <row r="120" spans="1:11" x14ac:dyDescent="0.3">
      <c r="A120" s="13"/>
      <c r="B120" s="13"/>
      <c r="C120" s="13"/>
      <c r="D120" s="14"/>
      <c r="E120" s="27"/>
      <c r="F120" s="13"/>
      <c r="G120" s="13"/>
      <c r="H120" s="13"/>
      <c r="I120" s="13"/>
      <c r="J120" s="13"/>
      <c r="K120" s="13"/>
    </row>
    <row r="121" spans="1:11" x14ac:dyDescent="0.3">
      <c r="A121" s="13"/>
      <c r="B121" s="13"/>
      <c r="C121" s="13"/>
      <c r="D121" s="14"/>
      <c r="E121" s="27"/>
      <c r="F121" s="13"/>
      <c r="G121" s="13"/>
      <c r="H121" s="13"/>
      <c r="I121" s="13"/>
      <c r="J121" s="13"/>
      <c r="K121" s="13"/>
    </row>
    <row r="122" spans="1:11" x14ac:dyDescent="0.3">
      <c r="A122" s="13"/>
      <c r="B122" s="13"/>
      <c r="C122" s="13"/>
      <c r="D122" s="14"/>
      <c r="E122" s="27"/>
      <c r="F122" s="13"/>
      <c r="G122" s="13"/>
      <c r="H122" s="13"/>
      <c r="I122" s="13"/>
      <c r="J122" s="13"/>
      <c r="K122" s="13"/>
    </row>
    <row r="123" spans="1:11" x14ac:dyDescent="0.3">
      <c r="A123" s="13"/>
      <c r="B123" s="13"/>
      <c r="C123" s="13"/>
      <c r="D123" s="14"/>
      <c r="E123" s="27"/>
      <c r="F123" s="13"/>
      <c r="G123" s="13"/>
      <c r="H123" s="13"/>
      <c r="I123" s="13"/>
      <c r="J123" s="13"/>
      <c r="K123" s="13"/>
    </row>
    <row r="124" spans="1:11" x14ac:dyDescent="0.3">
      <c r="A124" s="13"/>
      <c r="B124" s="13"/>
      <c r="C124" s="13"/>
      <c r="D124" s="14"/>
      <c r="E124" s="27"/>
      <c r="F124" s="13"/>
      <c r="G124" s="13"/>
      <c r="H124" s="13"/>
      <c r="I124" s="13"/>
      <c r="J124" s="13"/>
      <c r="K124" s="13"/>
    </row>
    <row r="125" spans="1:11" x14ac:dyDescent="0.3">
      <c r="A125" s="13"/>
      <c r="B125" s="13"/>
      <c r="C125" s="13"/>
      <c r="D125" s="14"/>
      <c r="E125" s="27"/>
      <c r="F125" s="13"/>
      <c r="G125" s="13"/>
      <c r="H125" s="13"/>
      <c r="I125" s="13"/>
      <c r="J125" s="13"/>
      <c r="K125" s="13"/>
    </row>
    <row r="126" spans="1:11" x14ac:dyDescent="0.3">
      <c r="A126" s="13"/>
      <c r="B126" s="13"/>
      <c r="C126" s="13"/>
      <c r="D126" s="14"/>
      <c r="E126" s="27"/>
      <c r="F126" s="13"/>
      <c r="G126" s="13"/>
      <c r="H126" s="13"/>
      <c r="I126" s="13"/>
      <c r="J126" s="13"/>
      <c r="K126" s="13"/>
    </row>
    <row r="127" spans="1:11" x14ac:dyDescent="0.3">
      <c r="A127" s="13"/>
      <c r="B127" s="13"/>
      <c r="C127" s="13"/>
      <c r="D127" s="14"/>
      <c r="E127" s="27"/>
      <c r="F127" s="13"/>
      <c r="G127" s="13"/>
      <c r="H127" s="13"/>
      <c r="I127" s="13"/>
      <c r="J127" s="13"/>
      <c r="K127" s="13"/>
    </row>
    <row r="128" spans="1:11" x14ac:dyDescent="0.3">
      <c r="A128" s="13"/>
      <c r="B128" s="13"/>
      <c r="C128" s="13"/>
      <c r="D128" s="14"/>
      <c r="E128" s="27"/>
      <c r="F128" s="13"/>
      <c r="G128" s="13"/>
      <c r="H128" s="13"/>
      <c r="I128" s="13"/>
      <c r="J128" s="13"/>
      <c r="K128" s="13"/>
    </row>
    <row r="129" spans="1:11" x14ac:dyDescent="0.3">
      <c r="A129" s="13"/>
      <c r="B129" s="13"/>
      <c r="C129" s="13"/>
      <c r="D129" s="14"/>
      <c r="E129" s="27"/>
      <c r="F129" s="13"/>
      <c r="G129" s="13"/>
      <c r="H129" s="13"/>
      <c r="I129" s="13"/>
      <c r="J129" s="13"/>
      <c r="K129" s="13"/>
    </row>
    <row r="130" spans="1:11" x14ac:dyDescent="0.3">
      <c r="A130" s="13"/>
      <c r="B130" s="13"/>
      <c r="C130" s="13"/>
      <c r="D130" s="14"/>
      <c r="E130" s="27"/>
      <c r="F130" s="13"/>
      <c r="G130" s="13"/>
      <c r="H130" s="13"/>
      <c r="I130" s="13"/>
      <c r="J130" s="13"/>
      <c r="K130" s="13"/>
    </row>
    <row r="131" spans="1:11" x14ac:dyDescent="0.3">
      <c r="A131" s="13"/>
      <c r="B131" s="13"/>
      <c r="C131" s="13"/>
      <c r="D131" s="14"/>
      <c r="E131" s="27"/>
      <c r="F131" s="13"/>
      <c r="G131" s="13"/>
      <c r="H131" s="13"/>
      <c r="I131" s="13"/>
      <c r="J131" s="13"/>
      <c r="K131" s="13"/>
    </row>
    <row r="132" spans="1:11" x14ac:dyDescent="0.3">
      <c r="A132" s="13"/>
      <c r="B132" s="13"/>
      <c r="C132" s="13"/>
      <c r="D132" s="14"/>
      <c r="E132" s="27"/>
      <c r="F132" s="13"/>
      <c r="G132" s="13"/>
      <c r="H132" s="13"/>
      <c r="I132" s="13"/>
      <c r="J132" s="13"/>
      <c r="K132" s="13"/>
    </row>
    <row r="133" spans="1:11" x14ac:dyDescent="0.3">
      <c r="A133" s="13"/>
      <c r="B133" s="13"/>
      <c r="C133" s="13"/>
      <c r="D133" s="14"/>
      <c r="E133" s="27"/>
      <c r="F133" s="13"/>
      <c r="G133" s="13"/>
      <c r="H133" s="13"/>
      <c r="I133" s="13"/>
      <c r="J133" s="13"/>
      <c r="K133" s="13"/>
    </row>
    <row r="134" spans="1:11" x14ac:dyDescent="0.3">
      <c r="A134" s="13"/>
      <c r="B134" s="13"/>
      <c r="C134" s="13"/>
      <c r="D134" s="14"/>
      <c r="E134" s="27"/>
      <c r="F134" s="13"/>
      <c r="G134" s="13"/>
      <c r="H134" s="13"/>
      <c r="I134" s="13"/>
      <c r="J134" s="13"/>
      <c r="K134" s="13"/>
    </row>
    <row r="135" spans="1:11" x14ac:dyDescent="0.3">
      <c r="A135" s="13"/>
      <c r="B135" s="13"/>
      <c r="C135" s="13"/>
      <c r="D135" s="14"/>
      <c r="E135" s="27"/>
      <c r="F135" s="13"/>
      <c r="G135" s="13"/>
      <c r="H135" s="13"/>
      <c r="I135" s="13"/>
      <c r="J135" s="13"/>
      <c r="K135" s="13"/>
    </row>
    <row r="136" spans="1:11" x14ac:dyDescent="0.3">
      <c r="A136" s="13"/>
      <c r="B136" s="13"/>
      <c r="C136" s="13"/>
      <c r="D136" s="14"/>
      <c r="E136" s="27"/>
      <c r="F136" s="13"/>
      <c r="G136" s="13"/>
      <c r="H136" s="13"/>
      <c r="I136" s="13"/>
      <c r="J136" s="13"/>
      <c r="K136" s="13"/>
    </row>
    <row r="137" spans="1:11" x14ac:dyDescent="0.3">
      <c r="A137" s="13"/>
      <c r="B137" s="13"/>
      <c r="C137" s="13"/>
      <c r="D137" s="14"/>
      <c r="E137" s="27"/>
      <c r="F137" s="13"/>
      <c r="G137" s="13"/>
      <c r="H137" s="13"/>
      <c r="I137" s="13"/>
      <c r="J137" s="13"/>
      <c r="K137" s="13"/>
    </row>
    <row r="138" spans="1:11" x14ac:dyDescent="0.3">
      <c r="A138" s="13"/>
      <c r="B138" s="13"/>
      <c r="C138" s="13"/>
      <c r="D138" s="14"/>
      <c r="E138" s="27"/>
      <c r="F138" s="13"/>
      <c r="G138" s="13"/>
      <c r="H138" s="13"/>
      <c r="I138" s="13"/>
      <c r="J138" s="13"/>
      <c r="K138" s="13"/>
    </row>
    <row r="139" spans="1:11" x14ac:dyDescent="0.3">
      <c r="A139" s="13"/>
      <c r="B139" s="13"/>
      <c r="C139" s="13"/>
      <c r="D139" s="14"/>
      <c r="E139" s="27"/>
      <c r="F139" s="13"/>
      <c r="G139" s="13"/>
      <c r="H139" s="13"/>
      <c r="I139" s="13"/>
      <c r="J139" s="13"/>
      <c r="K139" s="13"/>
    </row>
    <row r="140" spans="1:11" x14ac:dyDescent="0.3">
      <c r="A140" s="13"/>
      <c r="B140" s="13"/>
      <c r="C140" s="13"/>
      <c r="D140" s="14"/>
      <c r="E140" s="27"/>
      <c r="F140" s="13"/>
      <c r="G140" s="13"/>
      <c r="H140" s="13"/>
      <c r="I140" s="13"/>
      <c r="J140" s="13"/>
      <c r="K140" s="13"/>
    </row>
    <row r="141" spans="1:11" x14ac:dyDescent="0.3">
      <c r="A141" s="13"/>
      <c r="B141" s="13"/>
      <c r="C141" s="13"/>
      <c r="D141" s="14"/>
      <c r="E141" s="27"/>
      <c r="F141" s="13"/>
      <c r="G141" s="13"/>
      <c r="H141" s="13"/>
      <c r="I141" s="13"/>
      <c r="J141" s="13"/>
      <c r="K141" s="13"/>
    </row>
    <row r="142" spans="1:11" x14ac:dyDescent="0.3">
      <c r="A142" s="13"/>
      <c r="B142" s="13"/>
      <c r="C142" s="13"/>
      <c r="D142" s="14"/>
      <c r="E142" s="27"/>
      <c r="F142" s="13"/>
      <c r="G142" s="13"/>
      <c r="H142" s="13"/>
      <c r="I142" s="13"/>
      <c r="J142" s="13"/>
      <c r="K142" s="13"/>
    </row>
    <row r="143" spans="1:11" x14ac:dyDescent="0.3">
      <c r="A143" s="13"/>
      <c r="B143" s="13"/>
      <c r="C143" s="13"/>
      <c r="D143" s="14"/>
      <c r="E143" s="27"/>
      <c r="F143" s="13"/>
      <c r="G143" s="13"/>
      <c r="H143" s="13"/>
      <c r="I143" s="13"/>
      <c r="J143" s="13"/>
      <c r="K143" s="13"/>
    </row>
    <row r="144" spans="1:11" x14ac:dyDescent="0.3">
      <c r="A144" s="13"/>
      <c r="B144" s="13"/>
      <c r="C144" s="13"/>
      <c r="D144" s="14"/>
      <c r="E144" s="27"/>
      <c r="F144" s="13"/>
      <c r="G144" s="13"/>
      <c r="H144" s="13"/>
      <c r="I144" s="13"/>
      <c r="J144" s="13"/>
      <c r="K144" s="13"/>
    </row>
    <row r="145" spans="1:11" x14ac:dyDescent="0.3">
      <c r="A145" s="13"/>
      <c r="B145" s="13"/>
      <c r="C145" s="13"/>
      <c r="D145" s="14"/>
      <c r="E145" s="27"/>
      <c r="F145" s="13"/>
      <c r="G145" s="13"/>
      <c r="H145" s="13"/>
      <c r="I145" s="13"/>
      <c r="J145" s="13"/>
      <c r="K145" s="13"/>
    </row>
    <row r="146" spans="1:11" x14ac:dyDescent="0.3">
      <c r="A146" s="13"/>
      <c r="B146" s="13"/>
      <c r="C146" s="13"/>
      <c r="D146" s="14"/>
      <c r="E146" s="27"/>
      <c r="F146" s="13"/>
      <c r="G146" s="13"/>
      <c r="H146" s="13"/>
      <c r="I146" s="13"/>
      <c r="J146" s="13"/>
      <c r="K146" s="13"/>
    </row>
    <row r="147" spans="1:11" x14ac:dyDescent="0.3">
      <c r="A147" s="13"/>
      <c r="B147" s="13"/>
      <c r="C147" s="13"/>
      <c r="D147" s="14"/>
      <c r="E147" s="27"/>
      <c r="F147" s="13"/>
      <c r="G147" s="13"/>
      <c r="H147" s="13"/>
      <c r="I147" s="13"/>
      <c r="J147" s="13"/>
      <c r="K147" s="13"/>
    </row>
    <row r="148" spans="1:11" x14ac:dyDescent="0.3">
      <c r="A148" s="13"/>
      <c r="B148" s="13"/>
      <c r="C148" s="13"/>
      <c r="D148" s="14"/>
      <c r="E148" s="27"/>
      <c r="F148" s="13"/>
      <c r="G148" s="13"/>
      <c r="H148" s="13"/>
      <c r="I148" s="13"/>
      <c r="J148" s="13"/>
      <c r="K148" s="13"/>
    </row>
    <row r="149" spans="1:11" x14ac:dyDescent="0.3">
      <c r="A149" s="13"/>
      <c r="B149" s="13"/>
      <c r="C149" s="13"/>
      <c r="D149" s="14"/>
      <c r="E149" s="27"/>
      <c r="F149" s="13"/>
      <c r="G149" s="13"/>
      <c r="H149" s="13"/>
      <c r="I149" s="13"/>
      <c r="J149" s="13"/>
      <c r="K149" s="13"/>
    </row>
    <row r="150" spans="1:11" x14ac:dyDescent="0.3">
      <c r="A150" s="13"/>
      <c r="B150" s="13"/>
      <c r="C150" s="13"/>
      <c r="D150" s="14"/>
      <c r="E150" s="27"/>
      <c r="F150" s="13"/>
      <c r="G150" s="13"/>
      <c r="H150" s="13"/>
      <c r="I150" s="13"/>
      <c r="J150" s="13"/>
      <c r="K150" s="13"/>
    </row>
    <row r="151" spans="1:11" x14ac:dyDescent="0.3">
      <c r="A151" s="13"/>
      <c r="B151" s="13"/>
      <c r="C151" s="13"/>
      <c r="D151" s="14"/>
      <c r="E151" s="27"/>
      <c r="F151" s="13"/>
      <c r="G151" s="13"/>
      <c r="H151" s="13"/>
      <c r="I151" s="13"/>
      <c r="J151" s="13"/>
      <c r="K151" s="13"/>
    </row>
    <row r="152" spans="1:11" x14ac:dyDescent="0.3">
      <c r="A152" s="13"/>
      <c r="B152" s="13"/>
      <c r="C152" s="13"/>
      <c r="D152" s="14"/>
      <c r="E152" s="27"/>
      <c r="F152" s="13"/>
      <c r="G152" s="13"/>
      <c r="H152" s="13"/>
      <c r="I152" s="13"/>
      <c r="J152" s="13"/>
      <c r="K152" s="13"/>
    </row>
    <row r="153" spans="1:11" x14ac:dyDescent="0.3">
      <c r="A153" s="13"/>
      <c r="B153" s="13"/>
      <c r="C153" s="13"/>
      <c r="D153" s="14"/>
      <c r="E153" s="27"/>
      <c r="F153" s="13"/>
      <c r="G153" s="13"/>
      <c r="H153" s="13"/>
      <c r="I153" s="13"/>
      <c r="J153" s="13"/>
      <c r="K153" s="13"/>
    </row>
    <row r="154" spans="1:11" x14ac:dyDescent="0.3">
      <c r="A154" s="13"/>
      <c r="B154" s="13"/>
      <c r="C154" s="13"/>
      <c r="D154" s="14"/>
      <c r="E154" s="27"/>
      <c r="F154" s="13"/>
      <c r="G154" s="13"/>
      <c r="H154" s="13"/>
      <c r="I154" s="13"/>
      <c r="J154" s="13"/>
      <c r="K154" s="13"/>
    </row>
    <row r="155" spans="1:11" x14ac:dyDescent="0.3">
      <c r="A155" s="13"/>
      <c r="B155" s="13"/>
      <c r="C155" s="13"/>
      <c r="D155" s="14"/>
      <c r="E155" s="27"/>
      <c r="F155" s="13"/>
      <c r="G155" s="13"/>
      <c r="H155" s="13"/>
      <c r="I155" s="13"/>
      <c r="J155" s="13"/>
      <c r="K155" s="13"/>
    </row>
    <row r="156" spans="1:11" x14ac:dyDescent="0.3">
      <c r="A156" s="13"/>
      <c r="B156" s="13"/>
      <c r="C156" s="13"/>
      <c r="D156" s="14"/>
      <c r="E156" s="27"/>
      <c r="F156" s="13"/>
      <c r="G156" s="13"/>
      <c r="H156" s="13"/>
      <c r="I156" s="13"/>
      <c r="J156" s="13"/>
      <c r="K156" s="13"/>
    </row>
    <row r="157" spans="1:11" x14ac:dyDescent="0.3">
      <c r="A157" s="13"/>
      <c r="B157" s="13"/>
      <c r="C157" s="13"/>
      <c r="D157" s="14"/>
      <c r="E157" s="27"/>
      <c r="F157" s="13"/>
      <c r="G157" s="13"/>
      <c r="H157" s="13"/>
      <c r="I157" s="13"/>
      <c r="J157" s="13"/>
      <c r="K157" s="13"/>
    </row>
    <row r="158" spans="1:11" x14ac:dyDescent="0.3">
      <c r="A158" s="13"/>
      <c r="B158" s="13"/>
      <c r="C158" s="13"/>
      <c r="D158" s="14"/>
      <c r="E158" s="27"/>
      <c r="F158" s="13"/>
      <c r="G158" s="13"/>
      <c r="H158" s="13"/>
      <c r="I158" s="13"/>
      <c r="J158" s="13"/>
      <c r="K158" s="13"/>
    </row>
    <row r="159" spans="1:11" x14ac:dyDescent="0.3">
      <c r="A159" s="13"/>
      <c r="B159" s="13"/>
      <c r="C159" s="13"/>
      <c r="D159" s="14"/>
      <c r="E159" s="27"/>
      <c r="F159" s="13"/>
      <c r="G159" s="13"/>
      <c r="H159" s="13"/>
      <c r="I159" s="13"/>
      <c r="J159" s="13"/>
      <c r="K159" s="13"/>
    </row>
    <row r="160" spans="1:11" x14ac:dyDescent="0.3">
      <c r="A160" s="13"/>
      <c r="B160" s="13"/>
      <c r="C160" s="13"/>
      <c r="D160" s="14"/>
      <c r="E160" s="27"/>
      <c r="F160" s="13"/>
      <c r="G160" s="13"/>
      <c r="H160" s="13"/>
      <c r="I160" s="13"/>
      <c r="J160" s="13"/>
      <c r="K160" s="13"/>
    </row>
    <row r="161" spans="1:11" x14ac:dyDescent="0.3">
      <c r="A161" s="13"/>
      <c r="B161" s="13"/>
      <c r="C161" s="13"/>
      <c r="D161" s="14"/>
      <c r="E161" s="27"/>
      <c r="F161" s="13"/>
      <c r="G161" s="13"/>
      <c r="H161" s="13"/>
      <c r="I161" s="13"/>
      <c r="J161" s="13"/>
      <c r="K161" s="13"/>
    </row>
    <row r="162" spans="1:11" x14ac:dyDescent="0.3">
      <c r="A162" s="13"/>
      <c r="B162" s="13"/>
      <c r="C162" s="13"/>
      <c r="D162" s="14"/>
      <c r="E162" s="27"/>
      <c r="F162" s="13"/>
      <c r="G162" s="13"/>
      <c r="H162" s="13"/>
      <c r="I162" s="13"/>
      <c r="J162" s="13"/>
      <c r="K162" s="13"/>
    </row>
    <row r="163" spans="1:11" x14ac:dyDescent="0.3">
      <c r="A163" s="13"/>
      <c r="B163" s="13"/>
      <c r="C163" s="13"/>
      <c r="D163" s="14"/>
      <c r="E163" s="27"/>
      <c r="F163" s="13"/>
      <c r="G163" s="13"/>
      <c r="H163" s="13"/>
      <c r="I163" s="13"/>
      <c r="J163" s="13"/>
      <c r="K163" s="13"/>
    </row>
    <row r="164" spans="1:11" x14ac:dyDescent="0.3">
      <c r="A164" s="13"/>
      <c r="B164" s="13"/>
      <c r="C164" s="13"/>
      <c r="D164" s="14"/>
      <c r="E164" s="27"/>
      <c r="F164" s="13"/>
      <c r="G164" s="13"/>
      <c r="H164" s="13"/>
      <c r="I164" s="13"/>
      <c r="J164" s="13"/>
      <c r="K164" s="13"/>
    </row>
    <row r="165" spans="1:11" x14ac:dyDescent="0.3">
      <c r="A165" s="13"/>
      <c r="B165" s="13"/>
      <c r="C165" s="13"/>
      <c r="D165" s="14"/>
      <c r="E165" s="27"/>
      <c r="F165" s="13"/>
      <c r="G165" s="13"/>
      <c r="H165" s="13"/>
      <c r="I165" s="13"/>
      <c r="J165" s="13"/>
      <c r="K165" s="13"/>
    </row>
    <row r="166" spans="1:11" x14ac:dyDescent="0.3">
      <c r="A166" s="13"/>
      <c r="B166" s="13"/>
      <c r="C166" s="13"/>
      <c r="D166" s="14"/>
      <c r="E166" s="27"/>
      <c r="F166" s="13"/>
      <c r="G166" s="13"/>
      <c r="H166" s="13"/>
      <c r="I166" s="13"/>
      <c r="J166" s="13"/>
      <c r="K166" s="13"/>
    </row>
    <row r="167" spans="1:11" x14ac:dyDescent="0.3">
      <c r="A167" s="13"/>
      <c r="B167" s="13"/>
      <c r="C167" s="13"/>
      <c r="D167" s="14"/>
      <c r="E167" s="27"/>
      <c r="F167" s="13"/>
      <c r="G167" s="13"/>
      <c r="H167" s="13"/>
      <c r="I167" s="13"/>
      <c r="J167" s="13"/>
      <c r="K167" s="13"/>
    </row>
    <row r="168" spans="1:11" x14ac:dyDescent="0.3">
      <c r="A168" s="13"/>
      <c r="B168" s="13"/>
      <c r="C168" s="13"/>
      <c r="D168" s="14"/>
      <c r="E168" s="27"/>
      <c r="F168" s="13"/>
      <c r="G168" s="13"/>
      <c r="H168" s="13"/>
      <c r="I168" s="13"/>
      <c r="J168" s="13"/>
      <c r="K168" s="13"/>
    </row>
    <row r="169" spans="1:11" x14ac:dyDescent="0.3">
      <c r="A169" s="13"/>
      <c r="B169" s="13"/>
      <c r="C169" s="13"/>
      <c r="D169" s="14"/>
      <c r="E169" s="27"/>
      <c r="F169" s="13"/>
      <c r="G169" s="13"/>
      <c r="H169" s="13"/>
      <c r="I169" s="13"/>
      <c r="J169" s="13"/>
      <c r="K169" s="13"/>
    </row>
    <row r="170" spans="1:11" x14ac:dyDescent="0.3">
      <c r="A170" s="13"/>
      <c r="B170" s="13"/>
      <c r="C170" s="13"/>
      <c r="D170" s="14"/>
      <c r="E170" s="27"/>
      <c r="F170" s="13"/>
      <c r="G170" s="13"/>
      <c r="H170" s="13"/>
      <c r="I170" s="13"/>
      <c r="J170" s="13"/>
      <c r="K170" s="13"/>
    </row>
    <row r="171" spans="1:11" x14ac:dyDescent="0.3">
      <c r="A171" s="13"/>
      <c r="B171" s="13"/>
      <c r="C171" s="13"/>
      <c r="D171" s="14"/>
      <c r="E171" s="27"/>
      <c r="F171" s="13"/>
      <c r="G171" s="13"/>
      <c r="H171" s="13"/>
      <c r="I171" s="13"/>
      <c r="J171" s="13"/>
      <c r="K171" s="13"/>
    </row>
    <row r="172" spans="1:11" x14ac:dyDescent="0.3">
      <c r="A172" s="13"/>
      <c r="B172" s="13"/>
      <c r="C172" s="13"/>
      <c r="D172" s="14"/>
      <c r="E172" s="27"/>
      <c r="F172" s="13"/>
      <c r="G172" s="13"/>
      <c r="H172" s="13"/>
      <c r="I172" s="13"/>
      <c r="J172" s="13"/>
      <c r="K172" s="13"/>
    </row>
    <row r="173" spans="1:11" x14ac:dyDescent="0.3">
      <c r="A173" s="13"/>
      <c r="B173" s="13"/>
      <c r="C173" s="13"/>
      <c r="D173" s="14"/>
      <c r="E173" s="27"/>
      <c r="F173" s="13"/>
      <c r="G173" s="13"/>
      <c r="H173" s="13"/>
      <c r="I173" s="13"/>
      <c r="J173" s="13"/>
      <c r="K173" s="13"/>
    </row>
    <row r="174" spans="1:11" x14ac:dyDescent="0.3">
      <c r="A174" s="13"/>
      <c r="B174" s="13"/>
      <c r="C174" s="13"/>
      <c r="D174" s="14"/>
      <c r="E174" s="27"/>
      <c r="F174" s="13"/>
      <c r="G174" s="13"/>
      <c r="H174" s="13"/>
      <c r="I174" s="13"/>
      <c r="J174" s="13"/>
      <c r="K174" s="13"/>
    </row>
    <row r="175" spans="1:11" x14ac:dyDescent="0.3">
      <c r="A175" s="13"/>
      <c r="B175" s="13"/>
      <c r="C175" s="13"/>
      <c r="D175" s="14"/>
      <c r="E175" s="27"/>
      <c r="F175" s="13"/>
      <c r="G175" s="13"/>
      <c r="H175" s="13"/>
      <c r="I175" s="13"/>
      <c r="J175" s="13"/>
      <c r="K175" s="13"/>
    </row>
    <row r="176" spans="1:11" x14ac:dyDescent="0.3">
      <c r="A176" s="13"/>
      <c r="B176" s="13"/>
      <c r="C176" s="13"/>
      <c r="D176" s="14"/>
      <c r="E176" s="27"/>
      <c r="F176" s="13"/>
      <c r="G176" s="13"/>
      <c r="H176" s="13"/>
      <c r="I176" s="13"/>
      <c r="J176" s="13"/>
      <c r="K176" s="13"/>
    </row>
    <row r="177" spans="1:11" x14ac:dyDescent="0.3">
      <c r="A177" s="13"/>
      <c r="B177" s="13"/>
      <c r="C177" s="13"/>
      <c r="D177" s="14"/>
      <c r="E177" s="27"/>
      <c r="F177" s="13"/>
      <c r="G177" s="13"/>
      <c r="H177" s="13"/>
      <c r="I177" s="13"/>
      <c r="J177" s="13"/>
      <c r="K177" s="13"/>
    </row>
    <row r="178" spans="1:11" x14ac:dyDescent="0.3">
      <c r="A178" s="13"/>
      <c r="B178" s="13"/>
      <c r="C178" s="13"/>
      <c r="D178" s="14"/>
      <c r="E178" s="27"/>
      <c r="F178" s="13"/>
      <c r="G178" s="13"/>
      <c r="H178" s="13"/>
      <c r="I178" s="13"/>
      <c r="J178" s="13"/>
      <c r="K178" s="13"/>
    </row>
    <row r="179" spans="1:11" x14ac:dyDescent="0.3">
      <c r="A179" s="13"/>
      <c r="B179" s="13"/>
      <c r="C179" s="13"/>
      <c r="D179" s="14"/>
      <c r="E179" s="27"/>
      <c r="F179" s="13"/>
      <c r="G179" s="13"/>
      <c r="H179" s="13"/>
      <c r="I179" s="13"/>
      <c r="J179" s="13"/>
      <c r="K179" s="13"/>
    </row>
    <row r="180" spans="1:11" x14ac:dyDescent="0.3">
      <c r="A180" s="13"/>
      <c r="B180" s="13"/>
      <c r="C180" s="13"/>
      <c r="D180" s="14"/>
      <c r="E180" s="27"/>
      <c r="F180" s="13"/>
      <c r="G180" s="13"/>
      <c r="H180" s="13"/>
      <c r="I180" s="13"/>
      <c r="J180" s="13"/>
      <c r="K180" s="13"/>
    </row>
    <row r="181" spans="1:11" x14ac:dyDescent="0.3">
      <c r="A181" s="13"/>
      <c r="B181" s="13"/>
      <c r="C181" s="13"/>
      <c r="D181" s="14"/>
      <c r="E181" s="27"/>
      <c r="F181" s="13"/>
      <c r="G181" s="13"/>
      <c r="H181" s="13"/>
      <c r="I181" s="13"/>
      <c r="J181" s="13"/>
      <c r="K181" s="13"/>
    </row>
    <row r="182" spans="1:11" x14ac:dyDescent="0.3">
      <c r="A182" s="13"/>
      <c r="B182" s="13"/>
      <c r="C182" s="13"/>
      <c r="D182" s="14"/>
      <c r="E182" s="27"/>
      <c r="F182" s="13"/>
      <c r="G182" s="13"/>
      <c r="H182" s="13"/>
      <c r="I182" s="13"/>
      <c r="J182" s="13"/>
      <c r="K182" s="13"/>
    </row>
    <row r="183" spans="1:11" x14ac:dyDescent="0.3">
      <c r="A183" s="13"/>
      <c r="B183" s="13"/>
      <c r="C183" s="13"/>
      <c r="D183" s="14"/>
      <c r="E183" s="27"/>
      <c r="F183" s="13"/>
      <c r="G183" s="13"/>
      <c r="H183" s="13"/>
      <c r="I183" s="13"/>
      <c r="J183" s="13"/>
      <c r="K183" s="13"/>
    </row>
    <row r="184" spans="1:11" x14ac:dyDescent="0.3">
      <c r="A184" s="13"/>
      <c r="B184" s="13"/>
      <c r="C184" s="13"/>
      <c r="D184" s="14"/>
      <c r="E184" s="27"/>
      <c r="F184" s="13"/>
      <c r="G184" s="13"/>
      <c r="H184" s="13"/>
      <c r="I184" s="13"/>
      <c r="J184" s="13"/>
      <c r="K184" s="13"/>
    </row>
    <row r="185" spans="1:11" x14ac:dyDescent="0.3">
      <c r="A185" s="13"/>
      <c r="B185" s="13"/>
      <c r="C185" s="13"/>
      <c r="D185" s="14"/>
      <c r="E185" s="27"/>
      <c r="F185" s="13"/>
      <c r="G185" s="13"/>
      <c r="H185" s="13"/>
      <c r="I185" s="13"/>
      <c r="J185" s="13"/>
      <c r="K185" s="13"/>
    </row>
    <row r="186" spans="1:11" x14ac:dyDescent="0.3">
      <c r="A186" s="13"/>
      <c r="B186" s="13"/>
      <c r="C186" s="13"/>
      <c r="D186" s="14"/>
      <c r="E186" s="27"/>
      <c r="F186" s="13"/>
      <c r="G186" s="13"/>
      <c r="H186" s="13"/>
      <c r="I186" s="13"/>
      <c r="J186" s="13"/>
      <c r="K186" s="13"/>
    </row>
    <row r="187" spans="1:11" x14ac:dyDescent="0.3">
      <c r="A187" s="13"/>
      <c r="B187" s="13"/>
      <c r="C187" s="13"/>
      <c r="D187" s="14"/>
      <c r="E187" s="27"/>
      <c r="F187" s="13"/>
      <c r="G187" s="13"/>
      <c r="H187" s="13"/>
      <c r="I187" s="13"/>
      <c r="J187" s="13"/>
      <c r="K187" s="13"/>
    </row>
    <row r="188" spans="1:11" x14ac:dyDescent="0.3">
      <c r="A188" s="13"/>
      <c r="B188" s="13"/>
      <c r="C188" s="13"/>
      <c r="D188" s="14"/>
      <c r="E188" s="27"/>
      <c r="F188" s="13"/>
      <c r="G188" s="13"/>
      <c r="H188" s="13"/>
      <c r="I188" s="13"/>
      <c r="J188" s="13"/>
      <c r="K188" s="13"/>
    </row>
    <row r="189" spans="1:11" x14ac:dyDescent="0.3">
      <c r="A189" s="13"/>
      <c r="B189" s="13"/>
      <c r="C189" s="13"/>
      <c r="D189" s="14"/>
      <c r="E189" s="27"/>
      <c r="F189" s="13"/>
      <c r="G189" s="13"/>
      <c r="H189" s="13"/>
      <c r="I189" s="13"/>
      <c r="J189" s="13"/>
      <c r="K189" s="13"/>
    </row>
    <row r="190" spans="1:11" x14ac:dyDescent="0.3">
      <c r="A190" s="13"/>
      <c r="B190" s="13"/>
      <c r="C190" s="13"/>
      <c r="D190" s="14"/>
      <c r="E190" s="27"/>
      <c r="F190" s="13"/>
      <c r="G190" s="13"/>
      <c r="H190" s="13"/>
      <c r="I190" s="13"/>
      <c r="J190" s="13"/>
      <c r="K190" s="13"/>
    </row>
    <row r="191" spans="1:11" x14ac:dyDescent="0.3">
      <c r="A191" s="13"/>
      <c r="B191" s="13"/>
      <c r="C191" s="13"/>
      <c r="D191" s="14"/>
      <c r="E191" s="27"/>
      <c r="F191" s="13"/>
      <c r="G191" s="13"/>
      <c r="H191" s="13"/>
      <c r="I191" s="13"/>
      <c r="J191" s="13"/>
      <c r="K191" s="13"/>
    </row>
    <row r="192" spans="1:11" x14ac:dyDescent="0.3">
      <c r="A192" s="13"/>
      <c r="B192" s="13"/>
      <c r="C192" s="13"/>
      <c r="D192" s="14"/>
      <c r="E192" s="27"/>
      <c r="F192" s="13"/>
      <c r="G192" s="13"/>
      <c r="H192" s="13"/>
      <c r="I192" s="13"/>
      <c r="J192" s="13"/>
      <c r="K192" s="13"/>
    </row>
    <row r="193" spans="1:11" x14ac:dyDescent="0.3">
      <c r="A193" s="13"/>
      <c r="B193" s="13"/>
      <c r="C193" s="13"/>
      <c r="D193" s="14"/>
      <c r="E193" s="27"/>
      <c r="F193" s="13"/>
      <c r="G193" s="13"/>
      <c r="H193" s="13"/>
      <c r="I193" s="13"/>
      <c r="J193" s="13"/>
      <c r="K193" s="13"/>
    </row>
    <row r="194" spans="1:11" x14ac:dyDescent="0.3">
      <c r="A194" s="13"/>
      <c r="B194" s="13"/>
      <c r="C194" s="13"/>
      <c r="D194" s="14"/>
      <c r="E194" s="27"/>
      <c r="F194" s="13"/>
      <c r="G194" s="13"/>
      <c r="H194" s="13"/>
      <c r="I194" s="13"/>
      <c r="J194" s="13"/>
      <c r="K194" s="13"/>
    </row>
    <row r="195" spans="1:11" x14ac:dyDescent="0.3">
      <c r="A195" s="13"/>
      <c r="B195" s="13"/>
      <c r="C195" s="13"/>
      <c r="D195" s="14"/>
      <c r="E195" s="27"/>
      <c r="F195" s="13"/>
      <c r="G195" s="13"/>
      <c r="H195" s="13"/>
      <c r="I195" s="13"/>
      <c r="J195" s="13"/>
      <c r="K195" s="13"/>
    </row>
    <row r="196" spans="1:11" x14ac:dyDescent="0.3">
      <c r="A196" s="13"/>
      <c r="B196" s="13"/>
      <c r="C196" s="13"/>
      <c r="D196" s="14"/>
      <c r="E196" s="27"/>
      <c r="F196" s="13"/>
      <c r="G196" s="13"/>
      <c r="H196" s="13"/>
      <c r="I196" s="13"/>
      <c r="J196" s="13"/>
      <c r="K196" s="13"/>
    </row>
    <row r="197" spans="1:11" x14ac:dyDescent="0.3">
      <c r="A197" s="13"/>
      <c r="B197" s="13"/>
      <c r="C197" s="13"/>
      <c r="D197" s="14"/>
      <c r="E197" s="27"/>
      <c r="F197" s="13"/>
      <c r="G197" s="13"/>
      <c r="H197" s="13"/>
      <c r="I197" s="13"/>
      <c r="J197" s="13"/>
      <c r="K197" s="13"/>
    </row>
    <row r="198" spans="1:11" x14ac:dyDescent="0.3">
      <c r="A198" s="13"/>
      <c r="B198" s="13"/>
      <c r="C198" s="13"/>
      <c r="D198" s="14"/>
      <c r="E198" s="27"/>
      <c r="F198" s="13"/>
      <c r="G198" s="13"/>
      <c r="H198" s="13"/>
      <c r="I198" s="13"/>
      <c r="J198" s="13"/>
      <c r="K198" s="13"/>
    </row>
    <row r="199" spans="1:11" x14ac:dyDescent="0.3">
      <c r="A199" s="13"/>
      <c r="B199" s="13"/>
      <c r="C199" s="13"/>
      <c r="D199" s="14"/>
      <c r="E199" s="27"/>
      <c r="F199" s="13"/>
      <c r="G199" s="13"/>
      <c r="H199" s="13"/>
      <c r="I199" s="13"/>
      <c r="J199" s="13"/>
      <c r="K199" s="13"/>
    </row>
    <row r="200" spans="1:11" x14ac:dyDescent="0.3">
      <c r="A200" s="13"/>
      <c r="B200" s="13"/>
      <c r="C200" s="13"/>
      <c r="D200" s="14"/>
      <c r="E200" s="27"/>
      <c r="F200" s="13"/>
      <c r="G200" s="13"/>
      <c r="H200" s="13"/>
      <c r="I200" s="13"/>
      <c r="J200" s="13"/>
      <c r="K200" s="13"/>
    </row>
    <row r="201" spans="1:11" x14ac:dyDescent="0.3">
      <c r="A201" s="13"/>
      <c r="B201" s="13"/>
      <c r="C201" s="13"/>
      <c r="D201" s="14"/>
      <c r="E201" s="27"/>
      <c r="F201" s="13"/>
      <c r="G201" s="13"/>
      <c r="H201" s="13"/>
      <c r="I201" s="13"/>
      <c r="J201" s="13"/>
      <c r="K201" s="13"/>
    </row>
    <row r="202" spans="1:11" x14ac:dyDescent="0.3">
      <c r="A202" s="13"/>
      <c r="B202" s="13"/>
      <c r="C202" s="13"/>
      <c r="D202" s="14"/>
      <c r="E202" s="27"/>
      <c r="F202" s="13"/>
      <c r="G202" s="13"/>
      <c r="H202" s="13"/>
      <c r="I202" s="13"/>
      <c r="J202" s="13"/>
      <c r="K202" s="13"/>
    </row>
    <row r="203" spans="1:11" x14ac:dyDescent="0.3">
      <c r="A203" s="13"/>
      <c r="B203" s="13"/>
      <c r="C203" s="13"/>
      <c r="D203" s="14"/>
      <c r="E203" s="27"/>
      <c r="F203" s="13"/>
      <c r="G203" s="13"/>
      <c r="H203" s="13"/>
      <c r="I203" s="13"/>
      <c r="J203" s="13"/>
      <c r="K203" s="13"/>
    </row>
    <row r="204" spans="1:11" x14ac:dyDescent="0.3">
      <c r="A204" s="13"/>
      <c r="B204" s="13"/>
      <c r="C204" s="13"/>
      <c r="D204" s="14"/>
      <c r="E204" s="27"/>
      <c r="F204" s="13"/>
      <c r="G204" s="13"/>
      <c r="H204" s="13"/>
      <c r="I204" s="13"/>
      <c r="J204" s="13"/>
      <c r="K204" s="13"/>
    </row>
    <row r="205" spans="1:11" x14ac:dyDescent="0.3">
      <c r="A205" s="13"/>
      <c r="B205" s="13"/>
      <c r="C205" s="13"/>
      <c r="D205" s="14"/>
      <c r="E205" s="27"/>
      <c r="F205" s="13"/>
      <c r="G205" s="13"/>
      <c r="H205" s="13"/>
      <c r="I205" s="13"/>
      <c r="J205" s="13"/>
      <c r="K205" s="13"/>
    </row>
    <row r="206" spans="1:11" x14ac:dyDescent="0.3">
      <c r="A206" s="13"/>
      <c r="B206" s="13"/>
      <c r="C206" s="13"/>
      <c r="D206" s="14"/>
      <c r="E206" s="27"/>
      <c r="F206" s="13"/>
      <c r="G206" s="13"/>
      <c r="H206" s="13"/>
      <c r="I206" s="13"/>
      <c r="J206" s="13"/>
      <c r="K206" s="13"/>
    </row>
    <row r="207" spans="1:11" x14ac:dyDescent="0.3">
      <c r="A207" s="13"/>
      <c r="B207" s="13"/>
      <c r="C207" s="13"/>
      <c r="D207" s="14"/>
      <c r="E207" s="27"/>
      <c r="F207" s="13"/>
      <c r="G207" s="13"/>
      <c r="H207" s="13"/>
      <c r="I207" s="13"/>
      <c r="J207" s="13"/>
      <c r="K207" s="13"/>
    </row>
    <row r="208" spans="1:11" x14ac:dyDescent="0.3">
      <c r="A208" s="13"/>
      <c r="B208" s="13"/>
      <c r="C208" s="13"/>
      <c r="D208" s="14"/>
      <c r="E208" s="27"/>
      <c r="F208" s="13"/>
      <c r="G208" s="13"/>
      <c r="H208" s="13"/>
      <c r="I208" s="13"/>
      <c r="J208" s="13"/>
      <c r="K208" s="13"/>
    </row>
    <row r="209" spans="1:11" x14ac:dyDescent="0.3">
      <c r="A209" s="13"/>
      <c r="B209" s="13"/>
      <c r="C209" s="13"/>
      <c r="D209" s="14"/>
      <c r="E209" s="27"/>
      <c r="F209" s="13"/>
      <c r="G209" s="13"/>
      <c r="H209" s="13"/>
      <c r="I209" s="13"/>
      <c r="J209" s="13"/>
      <c r="K209" s="13"/>
    </row>
    <row r="210" spans="1:11" x14ac:dyDescent="0.3">
      <c r="A210" s="13"/>
      <c r="B210" s="13"/>
      <c r="C210" s="13"/>
      <c r="D210" s="14"/>
      <c r="E210" s="27"/>
      <c r="F210" s="13"/>
      <c r="G210" s="13"/>
      <c r="H210" s="13"/>
      <c r="I210" s="13"/>
      <c r="J210" s="13"/>
      <c r="K210" s="13"/>
    </row>
    <row r="211" spans="1:11" x14ac:dyDescent="0.3">
      <c r="A211" s="13"/>
      <c r="B211" s="13"/>
      <c r="C211" s="13"/>
      <c r="D211" s="14"/>
      <c r="E211" s="27"/>
      <c r="F211" s="13"/>
      <c r="G211" s="13"/>
      <c r="H211" s="13"/>
      <c r="I211" s="13"/>
      <c r="J211" s="13"/>
      <c r="K211" s="13"/>
    </row>
    <row r="212" spans="1:11" x14ac:dyDescent="0.3">
      <c r="A212" s="13"/>
      <c r="B212" s="13"/>
      <c r="C212" s="13"/>
      <c r="D212" s="14"/>
      <c r="E212" s="27"/>
      <c r="F212" s="13"/>
      <c r="G212" s="13"/>
      <c r="H212" s="13"/>
      <c r="I212" s="13"/>
      <c r="J212" s="13"/>
      <c r="K212" s="13"/>
    </row>
    <row r="213" spans="1:11" x14ac:dyDescent="0.3">
      <c r="A213" s="13"/>
      <c r="B213" s="13"/>
      <c r="C213" s="13"/>
      <c r="D213" s="14"/>
      <c r="E213" s="27"/>
      <c r="F213" s="13"/>
      <c r="G213" s="13"/>
      <c r="H213" s="13"/>
      <c r="I213" s="13"/>
      <c r="J213" s="13"/>
      <c r="K213" s="13"/>
    </row>
    <row r="214" spans="1:11" x14ac:dyDescent="0.3">
      <c r="A214" s="13"/>
      <c r="B214" s="13"/>
      <c r="C214" s="13"/>
      <c r="D214" s="14"/>
      <c r="E214" s="27"/>
      <c r="F214" s="13"/>
      <c r="G214" s="13"/>
      <c r="H214" s="13"/>
      <c r="I214" s="13"/>
      <c r="J214" s="13"/>
      <c r="K214" s="13"/>
    </row>
    <row r="215" spans="1:11" x14ac:dyDescent="0.3">
      <c r="A215" s="13"/>
      <c r="B215" s="13"/>
      <c r="C215" s="13"/>
      <c r="D215" s="14"/>
      <c r="E215" s="27"/>
      <c r="F215" s="13"/>
      <c r="G215" s="13"/>
      <c r="H215" s="13"/>
      <c r="I215" s="13"/>
      <c r="J215" s="13"/>
      <c r="K215" s="13"/>
    </row>
    <row r="216" spans="1:11" x14ac:dyDescent="0.3">
      <c r="A216" s="13"/>
      <c r="B216" s="13"/>
      <c r="C216" s="13"/>
      <c r="D216" s="14"/>
      <c r="E216" s="27"/>
      <c r="F216" s="13"/>
      <c r="G216" s="13"/>
      <c r="H216" s="13"/>
      <c r="I216" s="13"/>
      <c r="J216" s="13"/>
      <c r="K216" s="13"/>
    </row>
    <row r="217" spans="1:11" x14ac:dyDescent="0.3">
      <c r="A217" s="13"/>
      <c r="B217" s="13"/>
      <c r="C217" s="13"/>
      <c r="D217" s="14"/>
      <c r="E217" s="27"/>
      <c r="F217" s="13"/>
      <c r="G217" s="13"/>
      <c r="H217" s="13"/>
      <c r="I217" s="13"/>
      <c r="J217" s="13"/>
      <c r="K217" s="13"/>
    </row>
    <row r="218" spans="1:11" x14ac:dyDescent="0.3">
      <c r="A218" s="13"/>
      <c r="B218" s="13"/>
      <c r="C218" s="13"/>
      <c r="D218" s="14"/>
      <c r="E218" s="27"/>
      <c r="F218" s="13"/>
      <c r="G218" s="13"/>
      <c r="H218" s="13"/>
      <c r="I218" s="13"/>
      <c r="J218" s="13"/>
      <c r="K218" s="13"/>
    </row>
    <row r="219" spans="1:11" x14ac:dyDescent="0.3">
      <c r="A219" s="13"/>
      <c r="B219" s="13"/>
      <c r="C219" s="13"/>
      <c r="D219" s="14"/>
      <c r="E219" s="27"/>
      <c r="F219" s="13"/>
      <c r="G219" s="13"/>
      <c r="H219" s="13"/>
      <c r="I219" s="13"/>
      <c r="J219" s="13"/>
      <c r="K219" s="13"/>
    </row>
    <row r="220" spans="1:11" x14ac:dyDescent="0.3">
      <c r="A220" s="13"/>
      <c r="B220" s="13"/>
      <c r="C220" s="13"/>
      <c r="D220" s="14"/>
      <c r="E220" s="27"/>
      <c r="F220" s="13"/>
      <c r="G220" s="13"/>
      <c r="H220" s="13"/>
      <c r="I220" s="13"/>
      <c r="J220" s="13"/>
      <c r="K220" s="13"/>
    </row>
    <row r="221" spans="1:11" x14ac:dyDescent="0.3">
      <c r="A221" s="13"/>
      <c r="B221" s="13"/>
      <c r="C221" s="13"/>
      <c r="D221" s="14"/>
      <c r="E221" s="27"/>
      <c r="F221" s="13"/>
      <c r="G221" s="13"/>
      <c r="H221" s="13"/>
      <c r="I221" s="13"/>
      <c r="J221" s="13"/>
      <c r="K221" s="13"/>
    </row>
    <row r="222" spans="1:11" x14ac:dyDescent="0.3">
      <c r="A222" s="13"/>
      <c r="B222" s="13"/>
      <c r="C222" s="13"/>
      <c r="D222" s="14"/>
      <c r="E222" s="27"/>
      <c r="F222" s="13"/>
      <c r="G222" s="13"/>
      <c r="H222" s="13"/>
      <c r="I222" s="13"/>
      <c r="J222" s="13"/>
      <c r="K222" s="13"/>
    </row>
    <row r="223" spans="1:11" x14ac:dyDescent="0.3">
      <c r="A223" s="13"/>
      <c r="B223" s="13"/>
      <c r="C223" s="13"/>
      <c r="D223" s="14"/>
      <c r="E223" s="27"/>
      <c r="F223" s="13"/>
      <c r="G223" s="13"/>
      <c r="H223" s="13"/>
      <c r="I223" s="13"/>
      <c r="J223" s="13"/>
      <c r="K223" s="13"/>
    </row>
    <row r="224" spans="1:11" x14ac:dyDescent="0.3">
      <c r="A224" s="13"/>
      <c r="B224" s="13"/>
      <c r="C224" s="13"/>
      <c r="D224" s="14"/>
      <c r="E224" s="27"/>
      <c r="F224" s="13"/>
      <c r="G224" s="13"/>
      <c r="H224" s="13"/>
      <c r="I224" s="13"/>
      <c r="J224" s="13"/>
      <c r="K224" s="13"/>
    </row>
    <row r="225" spans="1:11" x14ac:dyDescent="0.3">
      <c r="A225" s="13"/>
      <c r="B225" s="13"/>
      <c r="C225" s="13"/>
      <c r="D225" s="14"/>
      <c r="E225" s="27"/>
      <c r="F225" s="13"/>
      <c r="G225" s="13"/>
      <c r="H225" s="13"/>
      <c r="I225" s="13"/>
      <c r="J225" s="13"/>
      <c r="K225" s="13"/>
    </row>
    <row r="226" spans="1:11" x14ac:dyDescent="0.3">
      <c r="A226" s="13"/>
      <c r="B226" s="13"/>
      <c r="C226" s="13"/>
      <c r="D226" s="14"/>
      <c r="E226" s="27"/>
      <c r="F226" s="13"/>
      <c r="G226" s="13"/>
      <c r="H226" s="13"/>
      <c r="I226" s="13"/>
      <c r="J226" s="13"/>
      <c r="K226" s="13"/>
    </row>
    <row r="227" spans="1:11" x14ac:dyDescent="0.3">
      <c r="A227" s="13"/>
      <c r="B227" s="13"/>
      <c r="C227" s="13"/>
      <c r="D227" s="14"/>
      <c r="E227" s="27"/>
      <c r="F227" s="13"/>
      <c r="G227" s="13"/>
      <c r="H227" s="13"/>
      <c r="I227" s="13"/>
      <c r="J227" s="13"/>
      <c r="K227" s="13"/>
    </row>
    <row r="228" spans="1:11" x14ac:dyDescent="0.3">
      <c r="A228" s="13"/>
      <c r="B228" s="13"/>
      <c r="C228" s="13"/>
      <c r="D228" s="14"/>
      <c r="E228" s="27"/>
      <c r="F228" s="13"/>
      <c r="G228" s="13"/>
      <c r="H228" s="13"/>
      <c r="I228" s="13"/>
      <c r="J228" s="13"/>
      <c r="K228" s="13"/>
    </row>
    <row r="229" spans="1:11" x14ac:dyDescent="0.3">
      <c r="A229" s="13"/>
      <c r="B229" s="13"/>
      <c r="C229" s="13"/>
      <c r="D229" s="14"/>
      <c r="E229" s="27"/>
      <c r="F229" s="13"/>
      <c r="G229" s="13"/>
      <c r="H229" s="13"/>
      <c r="I229" s="13"/>
      <c r="J229" s="13"/>
      <c r="K229" s="13"/>
    </row>
    <row r="230" spans="1:11" x14ac:dyDescent="0.3">
      <c r="A230" s="13"/>
      <c r="B230" s="13"/>
      <c r="C230" s="13"/>
      <c r="D230" s="14"/>
      <c r="E230" s="27"/>
      <c r="F230" s="13"/>
      <c r="G230" s="13"/>
      <c r="H230" s="13"/>
      <c r="I230" s="13"/>
      <c r="J230" s="13"/>
      <c r="K230" s="13"/>
    </row>
    <row r="231" spans="1:11" x14ac:dyDescent="0.3">
      <c r="A231" s="13"/>
      <c r="B231" s="13"/>
      <c r="C231" s="13"/>
      <c r="D231" s="14"/>
      <c r="E231" s="27"/>
      <c r="F231" s="13"/>
      <c r="G231" s="13"/>
      <c r="H231" s="13"/>
      <c r="I231" s="13"/>
      <c r="J231" s="13"/>
      <c r="K231" s="13"/>
    </row>
    <row r="232" spans="1:11" x14ac:dyDescent="0.3">
      <c r="A232" s="13"/>
      <c r="B232" s="13"/>
      <c r="C232" s="13"/>
      <c r="D232" s="14"/>
      <c r="E232" s="27"/>
      <c r="F232" s="13"/>
      <c r="G232" s="13"/>
      <c r="H232" s="13"/>
      <c r="I232" s="13"/>
      <c r="J232" s="13"/>
      <c r="K232" s="13"/>
    </row>
    <row r="233" spans="1:11" x14ac:dyDescent="0.3">
      <c r="A233" s="13"/>
      <c r="B233" s="13"/>
      <c r="C233" s="13"/>
      <c r="D233" s="14"/>
      <c r="E233" s="27"/>
      <c r="F233" s="13"/>
      <c r="G233" s="13"/>
      <c r="H233" s="13"/>
      <c r="I233" s="13"/>
      <c r="J233" s="13"/>
      <c r="K233" s="13"/>
    </row>
    <row r="234" spans="1:11" x14ac:dyDescent="0.3">
      <c r="A234" s="13"/>
      <c r="B234" s="13"/>
      <c r="C234" s="13"/>
      <c r="D234" s="14"/>
      <c r="E234" s="27"/>
      <c r="F234" s="13"/>
      <c r="G234" s="13"/>
      <c r="H234" s="13"/>
      <c r="I234" s="13"/>
      <c r="J234" s="13"/>
      <c r="K234" s="13"/>
    </row>
    <row r="235" spans="1:11" x14ac:dyDescent="0.3">
      <c r="A235" s="13"/>
      <c r="B235" s="13"/>
      <c r="C235" s="13"/>
      <c r="D235" s="14"/>
      <c r="E235" s="27"/>
      <c r="F235" s="13"/>
      <c r="G235" s="13"/>
      <c r="H235" s="13"/>
      <c r="I235" s="13"/>
      <c r="J235" s="13"/>
      <c r="K235" s="13"/>
    </row>
    <row r="236" spans="1:11" x14ac:dyDescent="0.3">
      <c r="A236" s="13"/>
      <c r="B236" s="13"/>
      <c r="C236" s="13"/>
      <c r="D236" s="14"/>
      <c r="E236" s="27"/>
      <c r="F236" s="13"/>
      <c r="G236" s="13"/>
      <c r="H236" s="13"/>
      <c r="I236" s="13"/>
      <c r="J236" s="13"/>
      <c r="K236" s="13"/>
    </row>
    <row r="237" spans="1:11" x14ac:dyDescent="0.3">
      <c r="A237" s="13"/>
      <c r="B237" s="13"/>
      <c r="C237" s="13"/>
      <c r="D237" s="14"/>
      <c r="E237" s="27"/>
      <c r="F237" s="13"/>
      <c r="G237" s="13"/>
      <c r="H237" s="13"/>
      <c r="I237" s="13"/>
      <c r="J237" s="13"/>
      <c r="K237" s="13"/>
    </row>
    <row r="238" spans="1:11" x14ac:dyDescent="0.3">
      <c r="A238" s="13"/>
      <c r="B238" s="13"/>
      <c r="C238" s="13"/>
      <c r="D238" s="14"/>
      <c r="E238" s="27"/>
      <c r="F238" s="13"/>
      <c r="G238" s="13"/>
      <c r="H238" s="13"/>
      <c r="I238" s="13"/>
      <c r="J238" s="13"/>
      <c r="K238" s="13"/>
    </row>
    <row r="239" spans="1:11" x14ac:dyDescent="0.3">
      <c r="A239" s="13"/>
      <c r="B239" s="13"/>
      <c r="C239" s="13"/>
      <c r="D239" s="14"/>
      <c r="E239" s="27"/>
      <c r="F239" s="13"/>
      <c r="G239" s="13"/>
      <c r="H239" s="13"/>
      <c r="I239" s="13"/>
      <c r="J239" s="13"/>
      <c r="K239" s="13"/>
    </row>
    <row r="240" spans="1:11" x14ac:dyDescent="0.3">
      <c r="A240" s="13"/>
      <c r="B240" s="13"/>
      <c r="C240" s="13"/>
      <c r="D240" s="14"/>
      <c r="E240" s="27"/>
      <c r="F240" s="13"/>
      <c r="G240" s="13"/>
      <c r="H240" s="13"/>
      <c r="I240" s="13"/>
      <c r="J240" s="13"/>
      <c r="K240" s="13"/>
    </row>
    <row r="241" spans="1:11" x14ac:dyDescent="0.3">
      <c r="A241" s="13"/>
      <c r="B241" s="13"/>
      <c r="C241" s="13"/>
      <c r="D241" s="14"/>
      <c r="E241" s="27"/>
      <c r="F241" s="13"/>
      <c r="G241" s="13"/>
      <c r="H241" s="13"/>
      <c r="I241" s="13"/>
      <c r="J241" s="13"/>
      <c r="K241" s="13"/>
    </row>
    <row r="242" spans="1:11" x14ac:dyDescent="0.3">
      <c r="A242" s="13"/>
      <c r="B242" s="13"/>
      <c r="C242" s="13"/>
      <c r="D242" s="14"/>
      <c r="E242" s="27"/>
      <c r="F242" s="13"/>
      <c r="G242" s="13"/>
      <c r="H242" s="13"/>
      <c r="I242" s="13"/>
      <c r="J242" s="13"/>
      <c r="K242" s="13"/>
    </row>
    <row r="243" spans="1:11" x14ac:dyDescent="0.3">
      <c r="A243" s="13"/>
      <c r="B243" s="13"/>
      <c r="C243" s="13"/>
      <c r="D243" s="14"/>
      <c r="E243" s="27"/>
      <c r="F243" s="13"/>
      <c r="G243" s="13"/>
      <c r="H243" s="13"/>
      <c r="I243" s="13"/>
      <c r="J243" s="13"/>
      <c r="K243" s="13"/>
    </row>
    <row r="244" spans="1:11" x14ac:dyDescent="0.3">
      <c r="A244" s="13"/>
      <c r="B244" s="13"/>
      <c r="C244" s="13"/>
      <c r="D244" s="14"/>
      <c r="E244" s="27"/>
      <c r="F244" s="13"/>
      <c r="G244" s="13"/>
      <c r="H244" s="13"/>
      <c r="I244" s="13"/>
      <c r="J244" s="13"/>
      <c r="K244" s="13"/>
    </row>
    <row r="245" spans="1:11" x14ac:dyDescent="0.3">
      <c r="A245" s="13"/>
      <c r="B245" s="13"/>
      <c r="C245" s="13"/>
      <c r="D245" s="14"/>
      <c r="E245" s="27"/>
      <c r="F245" s="13"/>
      <c r="G245" s="13"/>
      <c r="H245" s="13"/>
      <c r="I245" s="13"/>
      <c r="J245" s="13"/>
      <c r="K245" s="13"/>
    </row>
    <row r="246" spans="1:11" x14ac:dyDescent="0.3">
      <c r="A246" s="13"/>
      <c r="B246" s="13"/>
      <c r="C246" s="13"/>
      <c r="D246" s="14"/>
      <c r="E246" s="27"/>
      <c r="F246" s="13"/>
      <c r="G246" s="13"/>
      <c r="H246" s="13"/>
      <c r="I246" s="13"/>
      <c r="J246" s="13"/>
      <c r="K246" s="13"/>
    </row>
    <row r="247" spans="1:11" x14ac:dyDescent="0.3">
      <c r="A247" s="13"/>
      <c r="B247" s="13"/>
      <c r="C247" s="13"/>
      <c r="D247" s="14"/>
      <c r="E247" s="27"/>
      <c r="F247" s="13"/>
      <c r="G247" s="13"/>
      <c r="H247" s="13"/>
      <c r="I247" s="13"/>
      <c r="J247" s="13"/>
      <c r="K247" s="13"/>
    </row>
    <row r="248" spans="1:11" x14ac:dyDescent="0.3">
      <c r="A248" s="13"/>
      <c r="B248" s="13"/>
      <c r="C248" s="13"/>
      <c r="D248" s="14"/>
      <c r="E248" s="27"/>
      <c r="F248" s="13"/>
      <c r="G248" s="13"/>
      <c r="H248" s="13"/>
      <c r="I248" s="13"/>
      <c r="J248" s="13"/>
      <c r="K248" s="13"/>
    </row>
    <row r="249" spans="1:11" x14ac:dyDescent="0.3">
      <c r="A249" s="13"/>
      <c r="B249" s="13"/>
      <c r="C249" s="13"/>
      <c r="D249" s="14"/>
      <c r="E249" s="27"/>
      <c r="F249" s="13"/>
      <c r="G249" s="13"/>
      <c r="H249" s="13"/>
      <c r="I249" s="13"/>
      <c r="J249" s="13"/>
      <c r="K249" s="13"/>
    </row>
    <row r="250" spans="1:11" x14ac:dyDescent="0.3">
      <c r="A250" s="13"/>
      <c r="B250" s="13"/>
      <c r="C250" s="13"/>
      <c r="D250" s="14"/>
      <c r="E250" s="27"/>
      <c r="F250" s="13"/>
      <c r="G250" s="13"/>
      <c r="H250" s="13"/>
      <c r="I250" s="13"/>
      <c r="J250" s="13"/>
      <c r="K250" s="13"/>
    </row>
    <row r="251" spans="1:11" x14ac:dyDescent="0.3">
      <c r="A251" s="13"/>
      <c r="B251" s="13"/>
      <c r="C251" s="13"/>
      <c r="D251" s="14"/>
      <c r="E251" s="27"/>
      <c r="F251" s="13"/>
      <c r="G251" s="13"/>
      <c r="H251" s="13"/>
      <c r="I251" s="13"/>
      <c r="J251" s="13"/>
      <c r="K251" s="13"/>
    </row>
    <row r="252" spans="1:11" x14ac:dyDescent="0.3">
      <c r="A252" s="13"/>
      <c r="B252" s="13"/>
      <c r="C252" s="13"/>
      <c r="D252" s="14"/>
      <c r="E252" s="27"/>
      <c r="F252" s="13"/>
      <c r="G252" s="13"/>
      <c r="H252" s="13"/>
      <c r="I252" s="13"/>
      <c r="J252" s="13"/>
      <c r="K252" s="13"/>
    </row>
    <row r="253" spans="1:11" x14ac:dyDescent="0.3">
      <c r="A253" s="13"/>
      <c r="B253" s="13"/>
      <c r="C253" s="13"/>
      <c r="D253" s="14"/>
      <c r="E253" s="27"/>
      <c r="F253" s="13"/>
      <c r="G253" s="13"/>
      <c r="H253" s="13"/>
      <c r="I253" s="13"/>
      <c r="J253" s="13"/>
      <c r="K253" s="13"/>
    </row>
    <row r="254" spans="1:11" x14ac:dyDescent="0.3">
      <c r="A254" s="13"/>
      <c r="B254" s="13"/>
      <c r="C254" s="13"/>
      <c r="D254" s="14"/>
      <c r="E254" s="27"/>
      <c r="F254" s="13"/>
      <c r="G254" s="13"/>
      <c r="H254" s="13"/>
      <c r="I254" s="13"/>
      <c r="J254" s="13"/>
      <c r="K254" s="13"/>
    </row>
    <row r="255" spans="1:11" x14ac:dyDescent="0.3">
      <c r="A255" s="13"/>
      <c r="B255" s="13"/>
      <c r="C255" s="13"/>
      <c r="D255" s="14"/>
      <c r="E255" s="27"/>
      <c r="F255" s="13"/>
      <c r="G255" s="13"/>
      <c r="H255" s="13"/>
      <c r="I255" s="13"/>
      <c r="J255" s="13"/>
      <c r="K255" s="13"/>
    </row>
    <row r="256" spans="1:11" x14ac:dyDescent="0.3">
      <c r="A256" s="13"/>
      <c r="B256" s="13"/>
      <c r="C256" s="13"/>
      <c r="D256" s="14"/>
      <c r="E256" s="27"/>
      <c r="F256" s="13"/>
      <c r="G256" s="13"/>
      <c r="H256" s="13"/>
      <c r="I256" s="13"/>
      <c r="J256" s="13"/>
      <c r="K256" s="13"/>
    </row>
    <row r="257" spans="1:11" x14ac:dyDescent="0.3">
      <c r="A257" s="13"/>
      <c r="B257" s="13"/>
      <c r="C257" s="13"/>
      <c r="D257" s="14"/>
      <c r="E257" s="27"/>
      <c r="F257" s="13"/>
      <c r="G257" s="13"/>
      <c r="H257" s="13"/>
      <c r="I257" s="13"/>
      <c r="J257" s="13"/>
      <c r="K257" s="13"/>
    </row>
    <row r="258" spans="1:11" x14ac:dyDescent="0.3">
      <c r="A258" s="13"/>
      <c r="B258" s="13"/>
      <c r="C258" s="13"/>
      <c r="D258" s="14"/>
      <c r="E258" s="27"/>
      <c r="F258" s="13"/>
      <c r="G258" s="13"/>
      <c r="H258" s="13"/>
      <c r="I258" s="13"/>
      <c r="J258" s="13"/>
      <c r="K258" s="13"/>
    </row>
    <row r="259" spans="1:11" x14ac:dyDescent="0.3">
      <c r="A259" s="13"/>
      <c r="B259" s="13"/>
      <c r="C259" s="13"/>
      <c r="D259" s="14"/>
      <c r="E259" s="27"/>
      <c r="F259" s="13"/>
      <c r="G259" s="13"/>
      <c r="H259" s="13"/>
      <c r="I259" s="13"/>
      <c r="J259" s="13"/>
      <c r="K259" s="13"/>
    </row>
    <row r="260" spans="1:11" x14ac:dyDescent="0.3">
      <c r="A260" s="13"/>
      <c r="B260" s="13"/>
      <c r="C260" s="13"/>
      <c r="D260" s="14"/>
      <c r="E260" s="27"/>
      <c r="F260" s="13"/>
      <c r="G260" s="13"/>
      <c r="H260" s="13"/>
      <c r="I260" s="13"/>
      <c r="J260" s="13"/>
      <c r="K260" s="13"/>
    </row>
    <row r="261" spans="1:11" x14ac:dyDescent="0.3">
      <c r="A261" s="13"/>
      <c r="B261" s="13"/>
      <c r="C261" s="13"/>
      <c r="D261" s="14"/>
      <c r="E261" s="27"/>
      <c r="F261" s="13"/>
      <c r="G261" s="13"/>
      <c r="H261" s="13"/>
      <c r="I261" s="13"/>
      <c r="J261" s="13"/>
      <c r="K261" s="13"/>
    </row>
    <row r="262" spans="1:11" x14ac:dyDescent="0.3">
      <c r="A262" s="13"/>
      <c r="B262" s="13"/>
      <c r="C262" s="13"/>
      <c r="D262" s="14"/>
      <c r="E262" s="27"/>
      <c r="F262" s="13"/>
      <c r="G262" s="13"/>
      <c r="H262" s="13"/>
      <c r="I262" s="13"/>
      <c r="J262" s="13"/>
      <c r="K262" s="13"/>
    </row>
    <row r="263" spans="1:11" x14ac:dyDescent="0.3">
      <c r="A263" s="13"/>
      <c r="B263" s="13"/>
      <c r="C263" s="13"/>
      <c r="D263" s="14"/>
      <c r="E263" s="27"/>
      <c r="F263" s="13"/>
      <c r="G263" s="13"/>
      <c r="H263" s="13"/>
      <c r="I263" s="13"/>
      <c r="J263" s="13"/>
      <c r="K263" s="13"/>
    </row>
    <row r="264" spans="1:11" x14ac:dyDescent="0.3">
      <c r="A264" s="13"/>
      <c r="B264" s="13"/>
      <c r="C264" s="13"/>
      <c r="D264" s="14"/>
      <c r="E264" s="27"/>
      <c r="F264" s="13"/>
      <c r="G264" s="13"/>
      <c r="H264" s="13"/>
      <c r="I264" s="13"/>
      <c r="J264" s="13"/>
      <c r="K264" s="13"/>
    </row>
    <row r="265" spans="1:11" x14ac:dyDescent="0.3">
      <c r="A265" s="13"/>
      <c r="B265" s="13"/>
      <c r="C265" s="13"/>
      <c r="D265" s="14"/>
      <c r="E265" s="27"/>
      <c r="F265" s="13"/>
      <c r="G265" s="13"/>
      <c r="H265" s="13"/>
      <c r="I265" s="13"/>
      <c r="J265" s="13"/>
      <c r="K265" s="13"/>
    </row>
    <row r="266" spans="1:11" x14ac:dyDescent="0.3">
      <c r="A266" s="13"/>
      <c r="B266" s="13"/>
      <c r="C266" s="13"/>
      <c r="D266" s="14"/>
      <c r="E266" s="27"/>
      <c r="F266" s="13"/>
      <c r="G266" s="13"/>
      <c r="H266" s="13"/>
      <c r="I266" s="13"/>
      <c r="J266" s="13"/>
      <c r="K266" s="13"/>
    </row>
    <row r="267" spans="1:11" x14ac:dyDescent="0.3">
      <c r="A267" s="13"/>
      <c r="B267" s="13"/>
      <c r="C267" s="13"/>
      <c r="D267" s="14"/>
      <c r="E267" s="27"/>
      <c r="F267" s="13"/>
      <c r="G267" s="13"/>
      <c r="H267" s="13"/>
      <c r="I267" s="13"/>
      <c r="J267" s="13"/>
      <c r="K267" s="13"/>
    </row>
    <row r="268" spans="1:11" x14ac:dyDescent="0.3">
      <c r="A268" s="13"/>
      <c r="B268" s="13"/>
      <c r="C268" s="13"/>
      <c r="D268" s="14"/>
      <c r="E268" s="27"/>
      <c r="F268" s="13"/>
      <c r="G268" s="13"/>
      <c r="H268" s="13"/>
      <c r="I268" s="13"/>
      <c r="J268" s="13"/>
      <c r="K268" s="13"/>
    </row>
    <row r="269" spans="1:11" x14ac:dyDescent="0.3">
      <c r="A269" s="13"/>
      <c r="B269" s="13"/>
      <c r="C269" s="13"/>
      <c r="D269" s="14"/>
      <c r="E269" s="27"/>
      <c r="F269" s="13"/>
      <c r="G269" s="13"/>
      <c r="H269" s="13"/>
      <c r="I269" s="13"/>
      <c r="J269" s="13"/>
      <c r="K269" s="13"/>
    </row>
    <row r="270" spans="1:11" x14ac:dyDescent="0.3">
      <c r="A270" s="13"/>
      <c r="B270" s="13"/>
      <c r="C270" s="13"/>
      <c r="D270" s="14"/>
      <c r="E270" s="27"/>
      <c r="F270" s="13"/>
      <c r="G270" s="13"/>
      <c r="H270" s="13"/>
      <c r="I270" s="13"/>
      <c r="J270" s="13"/>
      <c r="K270" s="13"/>
    </row>
    <row r="271" spans="1:11" x14ac:dyDescent="0.3">
      <c r="A271" s="13"/>
      <c r="B271" s="13"/>
      <c r="C271" s="13"/>
      <c r="D271" s="14"/>
      <c r="E271" s="27"/>
      <c r="F271" s="13"/>
      <c r="G271" s="13"/>
      <c r="H271" s="13"/>
      <c r="I271" s="13"/>
      <c r="J271" s="13"/>
      <c r="K271" s="13"/>
    </row>
    <row r="272" spans="1:11" x14ac:dyDescent="0.3">
      <c r="A272" s="13"/>
      <c r="B272" s="13"/>
      <c r="C272" s="13"/>
      <c r="D272" s="14"/>
      <c r="E272" s="27"/>
      <c r="F272" s="13"/>
      <c r="G272" s="13"/>
      <c r="H272" s="13"/>
      <c r="I272" s="13"/>
      <c r="J272" s="13"/>
      <c r="K272" s="13"/>
    </row>
    <row r="273" spans="1:11" x14ac:dyDescent="0.3">
      <c r="A273" s="13"/>
      <c r="B273" s="13"/>
      <c r="C273" s="13"/>
      <c r="D273" s="14"/>
      <c r="E273" s="27"/>
      <c r="F273" s="13"/>
      <c r="G273" s="13"/>
      <c r="H273" s="13"/>
      <c r="I273" s="13"/>
      <c r="J273" s="13"/>
      <c r="K273" s="13"/>
    </row>
    <row r="274" spans="1:11" x14ac:dyDescent="0.3">
      <c r="A274" s="13"/>
      <c r="B274" s="13"/>
      <c r="C274" s="13"/>
      <c r="D274" s="14"/>
      <c r="E274" s="27"/>
      <c r="F274" s="13"/>
      <c r="G274" s="13"/>
      <c r="H274" s="13"/>
      <c r="I274" s="13"/>
      <c r="J274" s="13"/>
      <c r="K274" s="13"/>
    </row>
    <row r="275" spans="1:11" x14ac:dyDescent="0.3">
      <c r="A275" s="13"/>
      <c r="B275" s="13"/>
      <c r="C275" s="13"/>
      <c r="D275" s="14"/>
      <c r="E275" s="27"/>
      <c r="F275" s="13"/>
      <c r="G275" s="13"/>
      <c r="H275" s="13"/>
      <c r="I275" s="13"/>
      <c r="J275" s="13"/>
      <c r="K275" s="13"/>
    </row>
    <row r="276" spans="1:11" x14ac:dyDescent="0.3">
      <c r="A276" s="13"/>
      <c r="B276" s="13"/>
      <c r="C276" s="13"/>
      <c r="D276" s="14"/>
      <c r="E276" s="27"/>
      <c r="F276" s="13"/>
      <c r="G276" s="13"/>
      <c r="H276" s="13"/>
      <c r="I276" s="13"/>
      <c r="J276" s="13"/>
      <c r="K276" s="13"/>
    </row>
    <row r="277" spans="1:11" x14ac:dyDescent="0.3">
      <c r="A277" s="13"/>
      <c r="B277" s="13"/>
      <c r="C277" s="13"/>
      <c r="D277" s="14"/>
      <c r="E277" s="27"/>
      <c r="F277" s="13"/>
      <c r="G277" s="13"/>
      <c r="H277" s="13"/>
      <c r="I277" s="13"/>
      <c r="J277" s="13"/>
      <c r="K277" s="13"/>
    </row>
    <row r="278" spans="1:11" x14ac:dyDescent="0.3">
      <c r="A278" s="13"/>
      <c r="B278" s="13"/>
      <c r="C278" s="13"/>
      <c r="D278" s="14"/>
      <c r="E278" s="27"/>
      <c r="F278" s="13"/>
      <c r="G278" s="13"/>
      <c r="H278" s="13"/>
      <c r="I278" s="13"/>
      <c r="J278" s="13"/>
      <c r="K278" s="13"/>
    </row>
    <row r="279" spans="1:11" x14ac:dyDescent="0.3">
      <c r="A279" s="13"/>
      <c r="B279" s="13"/>
      <c r="C279" s="13"/>
      <c r="D279" s="14"/>
      <c r="E279" s="27"/>
      <c r="F279" s="13"/>
      <c r="G279" s="13"/>
      <c r="H279" s="13"/>
      <c r="I279" s="13"/>
      <c r="J279" s="13"/>
      <c r="K279" s="13"/>
    </row>
    <row r="280" spans="1:11" x14ac:dyDescent="0.3">
      <c r="A280" s="13"/>
      <c r="B280" s="13"/>
      <c r="C280" s="13"/>
      <c r="D280" s="14"/>
      <c r="E280" s="27"/>
      <c r="F280" s="13"/>
      <c r="G280" s="13"/>
      <c r="H280" s="13"/>
      <c r="I280" s="13"/>
      <c r="J280" s="13"/>
      <c r="K280" s="13"/>
    </row>
    <row r="281" spans="1:11" x14ac:dyDescent="0.3">
      <c r="A281" s="13"/>
      <c r="B281" s="13"/>
      <c r="C281" s="13"/>
      <c r="D281" s="14"/>
      <c r="E281" s="27"/>
      <c r="F281" s="13"/>
      <c r="G281" s="13"/>
      <c r="H281" s="13"/>
      <c r="I281" s="13"/>
      <c r="J281" s="13"/>
      <c r="K281" s="13"/>
    </row>
    <row r="282" spans="1:11" x14ac:dyDescent="0.3">
      <c r="A282" s="13"/>
      <c r="B282" s="13"/>
      <c r="C282" s="13"/>
      <c r="D282" s="14"/>
      <c r="E282" s="27"/>
      <c r="F282" s="13"/>
      <c r="G282" s="13"/>
      <c r="H282" s="13"/>
      <c r="I282" s="13"/>
      <c r="J282" s="13"/>
      <c r="K282" s="13"/>
    </row>
    <row r="283" spans="1:11" x14ac:dyDescent="0.3">
      <c r="A283" s="13"/>
      <c r="B283" s="13"/>
      <c r="C283" s="13"/>
      <c r="D283" s="14"/>
      <c r="E283" s="27"/>
      <c r="F283" s="13"/>
      <c r="G283" s="13"/>
      <c r="H283" s="13"/>
      <c r="I283" s="13"/>
      <c r="J283" s="13"/>
      <c r="K283" s="13"/>
    </row>
    <row r="284" spans="1:11" x14ac:dyDescent="0.3">
      <c r="A284" s="13"/>
      <c r="B284" s="13"/>
      <c r="C284" s="13"/>
      <c r="D284" s="14"/>
      <c r="E284" s="27"/>
      <c r="F284" s="13"/>
      <c r="G284" s="13"/>
      <c r="H284" s="13"/>
      <c r="I284" s="13"/>
      <c r="J284" s="13"/>
      <c r="K284" s="13"/>
    </row>
    <row r="285" spans="1:11" x14ac:dyDescent="0.3">
      <c r="A285" s="13"/>
      <c r="B285" s="13"/>
      <c r="C285" s="13"/>
      <c r="D285" s="14"/>
      <c r="E285" s="27"/>
      <c r="F285" s="13"/>
      <c r="G285" s="13"/>
      <c r="H285" s="13"/>
      <c r="I285" s="13"/>
      <c r="J285" s="13"/>
      <c r="K285" s="13"/>
    </row>
    <row r="286" spans="1:11" x14ac:dyDescent="0.3">
      <c r="A286" s="13"/>
      <c r="B286" s="13"/>
      <c r="C286" s="13"/>
      <c r="D286" s="14"/>
      <c r="E286" s="27"/>
      <c r="F286" s="13"/>
      <c r="G286" s="13"/>
      <c r="H286" s="13"/>
      <c r="I286" s="13"/>
      <c r="J286" s="13"/>
      <c r="K286" s="13"/>
    </row>
    <row r="287" spans="1:11" x14ac:dyDescent="0.3">
      <c r="A287" s="13"/>
      <c r="B287" s="13"/>
      <c r="C287" s="13"/>
      <c r="D287" s="14"/>
      <c r="E287" s="27"/>
      <c r="F287" s="13"/>
      <c r="G287" s="13"/>
      <c r="H287" s="13"/>
      <c r="I287" s="13"/>
      <c r="J287" s="13"/>
      <c r="K287" s="13"/>
    </row>
    <row r="288" spans="1:11" x14ac:dyDescent="0.3">
      <c r="A288" s="13"/>
      <c r="B288" s="13"/>
      <c r="C288" s="13"/>
      <c r="D288" s="14"/>
      <c r="E288" s="27"/>
      <c r="F288" s="13"/>
      <c r="G288" s="13"/>
      <c r="H288" s="13"/>
      <c r="I288" s="13"/>
      <c r="J288" s="13"/>
      <c r="K288" s="13"/>
    </row>
    <row r="289" spans="1:11" x14ac:dyDescent="0.3">
      <c r="A289" s="13"/>
      <c r="B289" s="13"/>
      <c r="C289" s="13"/>
      <c r="D289" s="14"/>
      <c r="E289" s="27"/>
      <c r="F289" s="13"/>
      <c r="G289" s="13"/>
      <c r="H289" s="13"/>
      <c r="I289" s="13"/>
      <c r="J289" s="13"/>
      <c r="K289" s="13"/>
    </row>
    <row r="290" spans="1:11" x14ac:dyDescent="0.3">
      <c r="A290" s="13"/>
      <c r="B290" s="13"/>
      <c r="C290" s="13"/>
      <c r="D290" s="14"/>
      <c r="E290" s="27"/>
      <c r="F290" s="13"/>
      <c r="G290" s="13"/>
      <c r="H290" s="13"/>
      <c r="I290" s="13"/>
      <c r="J290" s="13"/>
      <c r="K290" s="13"/>
    </row>
    <row r="291" spans="1:11" x14ac:dyDescent="0.3">
      <c r="A291" s="13"/>
      <c r="B291" s="13"/>
      <c r="C291" s="13"/>
      <c r="D291" s="14"/>
      <c r="E291" s="27"/>
      <c r="F291" s="13"/>
      <c r="G291" s="13"/>
      <c r="H291" s="13"/>
      <c r="I291" s="13"/>
      <c r="J291" s="13"/>
      <c r="K291" s="13"/>
    </row>
    <row r="292" spans="1:11" x14ac:dyDescent="0.3">
      <c r="A292" s="13"/>
      <c r="B292" s="13"/>
      <c r="C292" s="13"/>
      <c r="D292" s="14"/>
      <c r="E292" s="27"/>
      <c r="F292" s="13"/>
      <c r="G292" s="13"/>
      <c r="H292" s="13"/>
      <c r="I292" s="13"/>
      <c r="J292" s="13"/>
      <c r="K292" s="13"/>
    </row>
    <row r="293" spans="1:11" x14ac:dyDescent="0.3">
      <c r="A293" s="13"/>
      <c r="B293" s="13"/>
      <c r="C293" s="13"/>
      <c r="D293" s="14"/>
      <c r="E293" s="27"/>
      <c r="F293" s="13"/>
      <c r="G293" s="13"/>
      <c r="H293" s="13"/>
      <c r="I293" s="13"/>
      <c r="J293" s="13"/>
      <c r="K293" s="13"/>
    </row>
    <row r="294" spans="1:11" x14ac:dyDescent="0.3">
      <c r="A294" s="13"/>
      <c r="B294" s="13"/>
      <c r="C294" s="13"/>
      <c r="D294" s="14"/>
      <c r="E294" s="27"/>
      <c r="F294" s="13"/>
      <c r="G294" s="13"/>
      <c r="H294" s="13"/>
      <c r="I294" s="13"/>
      <c r="J294" s="13"/>
      <c r="K294" s="13"/>
    </row>
    <row r="295" spans="1:11" x14ac:dyDescent="0.3">
      <c r="A295" s="13"/>
      <c r="B295" s="13"/>
      <c r="C295" s="13"/>
      <c r="D295" s="14"/>
      <c r="E295" s="27"/>
      <c r="F295" s="13"/>
      <c r="G295" s="13"/>
      <c r="H295" s="13"/>
      <c r="I295" s="13"/>
      <c r="J295" s="13"/>
      <c r="K295" s="13"/>
    </row>
    <row r="296" spans="1:11" x14ac:dyDescent="0.3">
      <c r="A296" s="13"/>
      <c r="B296" s="13"/>
      <c r="C296" s="13"/>
      <c r="D296" s="14"/>
      <c r="E296" s="27"/>
      <c r="F296" s="13"/>
      <c r="G296" s="13"/>
      <c r="H296" s="13"/>
      <c r="I296" s="13"/>
      <c r="J296" s="13"/>
      <c r="K296" s="13"/>
    </row>
    <row r="297" spans="1:11" x14ac:dyDescent="0.3">
      <c r="A297" s="13"/>
      <c r="B297" s="13"/>
      <c r="C297" s="13"/>
      <c r="D297" s="14"/>
      <c r="E297" s="27"/>
      <c r="F297" s="13"/>
      <c r="G297" s="13"/>
      <c r="H297" s="13"/>
      <c r="I297" s="13"/>
      <c r="J297" s="13"/>
      <c r="K297" s="13"/>
    </row>
    <row r="298" spans="1:11" x14ac:dyDescent="0.3">
      <c r="A298" s="13"/>
      <c r="B298" s="13"/>
      <c r="C298" s="13"/>
      <c r="D298" s="14"/>
      <c r="E298" s="27"/>
      <c r="F298" s="13"/>
      <c r="G298" s="13"/>
      <c r="H298" s="13"/>
      <c r="I298" s="13"/>
      <c r="J298" s="13"/>
      <c r="K298" s="13"/>
    </row>
    <row r="299" spans="1:11" x14ac:dyDescent="0.3">
      <c r="A299" s="13"/>
      <c r="B299" s="13"/>
      <c r="C299" s="13"/>
      <c r="D299" s="14"/>
      <c r="E299" s="27"/>
      <c r="F299" s="13"/>
      <c r="G299" s="13"/>
      <c r="H299" s="13"/>
      <c r="I299" s="13"/>
      <c r="J299" s="13"/>
      <c r="K299" s="13"/>
    </row>
    <row r="300" spans="1:11" x14ac:dyDescent="0.3">
      <c r="A300" s="13"/>
      <c r="B300" s="13"/>
      <c r="C300" s="13"/>
      <c r="D300" s="14"/>
      <c r="E300" s="27"/>
      <c r="F300" s="13"/>
      <c r="G300" s="13"/>
      <c r="H300" s="13"/>
      <c r="I300" s="13"/>
      <c r="J300" s="13"/>
      <c r="K300" s="13"/>
    </row>
    <row r="301" spans="1:11" x14ac:dyDescent="0.3">
      <c r="A301" s="13"/>
      <c r="B301" s="13"/>
      <c r="C301" s="13"/>
      <c r="D301" s="14"/>
      <c r="E301" s="27"/>
      <c r="F301" s="13"/>
      <c r="G301" s="13"/>
      <c r="H301" s="13"/>
      <c r="I301" s="13"/>
      <c r="J301" s="13"/>
      <c r="K301" s="13"/>
    </row>
    <row r="302" spans="1:11" x14ac:dyDescent="0.3">
      <c r="A302" s="13"/>
      <c r="B302" s="13"/>
      <c r="C302" s="13"/>
      <c r="D302" s="14"/>
      <c r="E302" s="27"/>
      <c r="F302" s="13"/>
      <c r="G302" s="13"/>
      <c r="H302" s="13"/>
      <c r="I302" s="13"/>
      <c r="J302" s="13"/>
      <c r="K302" s="13"/>
    </row>
    <row r="303" spans="1:11" x14ac:dyDescent="0.3">
      <c r="A303" s="13"/>
      <c r="B303" s="13"/>
      <c r="C303" s="13"/>
      <c r="D303" s="14"/>
      <c r="E303" s="27"/>
      <c r="F303" s="13"/>
      <c r="G303" s="13"/>
      <c r="H303" s="13"/>
      <c r="I303" s="13"/>
      <c r="J303" s="13"/>
      <c r="K303" s="13"/>
    </row>
    <row r="304" spans="1:11" x14ac:dyDescent="0.3">
      <c r="A304" s="13"/>
      <c r="B304" s="13"/>
      <c r="C304" s="13"/>
      <c r="D304" s="14"/>
      <c r="E304" s="27"/>
      <c r="F304" s="13"/>
      <c r="G304" s="13"/>
      <c r="H304" s="13"/>
      <c r="I304" s="13"/>
      <c r="J304" s="13"/>
      <c r="K304" s="13"/>
    </row>
    <row r="305" spans="1:11" x14ac:dyDescent="0.3">
      <c r="A305" s="13"/>
      <c r="B305" s="13"/>
      <c r="C305" s="13"/>
      <c r="D305" s="14"/>
      <c r="E305" s="27"/>
      <c r="F305" s="13"/>
      <c r="G305" s="13"/>
      <c r="H305" s="13"/>
      <c r="I305" s="13"/>
      <c r="J305" s="13"/>
      <c r="K305" s="13"/>
    </row>
    <row r="306" spans="1:11" x14ac:dyDescent="0.3">
      <c r="A306" s="13"/>
      <c r="B306" s="13"/>
      <c r="C306" s="13"/>
      <c r="D306" s="14"/>
      <c r="E306" s="27"/>
      <c r="F306" s="13"/>
      <c r="G306" s="13"/>
      <c r="H306" s="13"/>
      <c r="I306" s="13"/>
      <c r="J306" s="13"/>
      <c r="K306" s="13"/>
    </row>
    <row r="307" spans="1:11" x14ac:dyDescent="0.3">
      <c r="A307" s="13"/>
      <c r="B307" s="13"/>
      <c r="C307" s="13"/>
      <c r="D307" s="14"/>
      <c r="E307" s="27"/>
      <c r="F307" s="13"/>
      <c r="G307" s="13"/>
      <c r="H307" s="13"/>
      <c r="I307" s="13"/>
      <c r="J307" s="13"/>
      <c r="K307" s="13"/>
    </row>
    <row r="308" spans="1:11" x14ac:dyDescent="0.3">
      <c r="A308" s="13"/>
      <c r="B308" s="13"/>
      <c r="C308" s="13"/>
      <c r="D308" s="14"/>
      <c r="E308" s="27"/>
      <c r="F308" s="13"/>
      <c r="G308" s="13"/>
      <c r="H308" s="13"/>
      <c r="I308" s="13"/>
      <c r="J308" s="13"/>
      <c r="K308" s="13"/>
    </row>
    <row r="309" spans="1:11" x14ac:dyDescent="0.3">
      <c r="A309" s="13"/>
      <c r="B309" s="13"/>
      <c r="C309" s="13"/>
      <c r="D309" s="14"/>
      <c r="E309" s="27"/>
      <c r="F309" s="13"/>
      <c r="G309" s="13"/>
      <c r="H309" s="13"/>
      <c r="I309" s="13"/>
      <c r="J309" s="13"/>
      <c r="K309" s="13"/>
    </row>
    <row r="310" spans="1:11" x14ac:dyDescent="0.3">
      <c r="A310" s="13"/>
      <c r="B310" s="13"/>
      <c r="C310" s="13"/>
      <c r="D310" s="14"/>
      <c r="E310" s="27"/>
      <c r="F310" s="13"/>
      <c r="G310" s="13"/>
      <c r="H310" s="13"/>
      <c r="I310" s="13"/>
      <c r="J310" s="13"/>
      <c r="K310" s="13"/>
    </row>
    <row r="311" spans="1:11" x14ac:dyDescent="0.3">
      <c r="A311" s="13"/>
      <c r="B311" s="13"/>
      <c r="C311" s="13"/>
      <c r="D311" s="14"/>
      <c r="E311" s="27"/>
      <c r="F311" s="13"/>
      <c r="G311" s="13"/>
      <c r="H311" s="13"/>
      <c r="I311" s="13"/>
      <c r="J311" s="13"/>
      <c r="K311" s="13"/>
    </row>
    <row r="312" spans="1:11" x14ac:dyDescent="0.3">
      <c r="A312" s="13"/>
      <c r="B312" s="13"/>
      <c r="C312" s="13"/>
      <c r="D312" s="14"/>
      <c r="E312" s="27"/>
      <c r="F312" s="13"/>
      <c r="G312" s="13"/>
      <c r="H312" s="13"/>
      <c r="I312" s="13"/>
      <c r="J312" s="13"/>
      <c r="K312" s="13"/>
    </row>
    <row r="313" spans="1:11" x14ac:dyDescent="0.3">
      <c r="A313" s="13"/>
      <c r="B313" s="13"/>
      <c r="C313" s="13"/>
      <c r="D313" s="14"/>
      <c r="E313" s="27"/>
      <c r="F313" s="13"/>
      <c r="G313" s="13"/>
      <c r="H313" s="13"/>
      <c r="I313" s="13"/>
      <c r="J313" s="13"/>
      <c r="K313" s="13"/>
    </row>
    <row r="314" spans="1:11" x14ac:dyDescent="0.3">
      <c r="A314" s="13"/>
      <c r="B314" s="13"/>
      <c r="C314" s="13"/>
      <c r="D314" s="14"/>
      <c r="E314" s="27"/>
      <c r="F314" s="13"/>
      <c r="G314" s="13"/>
      <c r="H314" s="13"/>
      <c r="I314" s="13"/>
      <c r="J314" s="13"/>
      <c r="K314" s="13"/>
    </row>
    <row r="315" spans="1:11" x14ac:dyDescent="0.3">
      <c r="A315" s="13"/>
      <c r="B315" s="13"/>
      <c r="C315" s="13"/>
      <c r="D315" s="14"/>
      <c r="E315" s="27"/>
      <c r="F315" s="13"/>
      <c r="G315" s="13"/>
      <c r="H315" s="13"/>
      <c r="I315" s="13"/>
      <c r="J315" s="13"/>
      <c r="K315" s="13"/>
    </row>
    <row r="316" spans="1:11" x14ac:dyDescent="0.3">
      <c r="A316" s="13"/>
      <c r="B316" s="13"/>
      <c r="C316" s="13"/>
      <c r="D316" s="14"/>
      <c r="E316" s="27"/>
      <c r="F316" s="13"/>
      <c r="G316" s="13"/>
      <c r="H316" s="13"/>
      <c r="I316" s="13"/>
      <c r="J316" s="13"/>
      <c r="K316" s="13"/>
    </row>
    <row r="317" spans="1:11" x14ac:dyDescent="0.3">
      <c r="A317" s="13"/>
      <c r="B317" s="13"/>
      <c r="C317" s="13"/>
      <c r="D317" s="14"/>
      <c r="E317" s="27"/>
      <c r="F317" s="13"/>
      <c r="G317" s="13"/>
      <c r="H317" s="13"/>
      <c r="I317" s="13"/>
      <c r="J317" s="13"/>
      <c r="K317" s="13"/>
    </row>
    <row r="318" spans="1:11" x14ac:dyDescent="0.3">
      <c r="A318" s="13"/>
      <c r="B318" s="13"/>
      <c r="C318" s="13"/>
      <c r="D318" s="14"/>
      <c r="E318" s="27"/>
      <c r="F318" s="13"/>
      <c r="G318" s="13"/>
      <c r="H318" s="13"/>
      <c r="I318" s="13"/>
      <c r="J318" s="13"/>
      <c r="K318" s="13"/>
    </row>
    <row r="319" spans="1:11" x14ac:dyDescent="0.3">
      <c r="A319" s="13"/>
      <c r="B319" s="13"/>
      <c r="C319" s="13"/>
      <c r="D319" s="14"/>
      <c r="E319" s="27"/>
      <c r="F319" s="13"/>
      <c r="G319" s="13"/>
      <c r="H319" s="13"/>
      <c r="I319" s="13"/>
      <c r="J319" s="13"/>
      <c r="K319" s="13"/>
    </row>
    <row r="320" spans="1:11" x14ac:dyDescent="0.3">
      <c r="A320" s="13"/>
      <c r="B320" s="13"/>
      <c r="C320" s="13"/>
      <c r="D320" s="14"/>
      <c r="E320" s="27"/>
      <c r="F320" s="13"/>
      <c r="G320" s="13"/>
      <c r="H320" s="13"/>
      <c r="I320" s="13"/>
      <c r="J320" s="13"/>
      <c r="K320" s="13"/>
    </row>
    <row r="321" spans="1:11" x14ac:dyDescent="0.3">
      <c r="A321" s="13"/>
      <c r="B321" s="13"/>
      <c r="C321" s="13"/>
      <c r="D321" s="14"/>
      <c r="E321" s="27"/>
      <c r="F321" s="13"/>
      <c r="G321" s="13"/>
      <c r="H321" s="13"/>
      <c r="I321" s="13"/>
      <c r="J321" s="13"/>
      <c r="K321" s="13"/>
    </row>
    <row r="322" spans="1:11" x14ac:dyDescent="0.3">
      <c r="A322" s="13"/>
      <c r="B322" s="13"/>
      <c r="C322" s="13"/>
      <c r="D322" s="14"/>
      <c r="E322" s="27"/>
      <c r="F322" s="13"/>
      <c r="G322" s="13"/>
      <c r="H322" s="13"/>
      <c r="I322" s="13"/>
      <c r="J322" s="13"/>
      <c r="K322" s="13"/>
    </row>
    <row r="323" spans="1:11" x14ac:dyDescent="0.3">
      <c r="A323" s="13"/>
      <c r="B323" s="13"/>
      <c r="C323" s="13"/>
      <c r="D323" s="14"/>
      <c r="E323" s="27"/>
      <c r="F323" s="13"/>
      <c r="G323" s="13"/>
      <c r="H323" s="13"/>
      <c r="I323" s="13"/>
      <c r="J323" s="13"/>
      <c r="K323" s="13"/>
    </row>
    <row r="324" spans="1:11" x14ac:dyDescent="0.3">
      <c r="A324" s="13"/>
      <c r="B324" s="13"/>
      <c r="C324" s="13"/>
      <c r="D324" s="14"/>
      <c r="E324" s="27"/>
      <c r="F324" s="13"/>
      <c r="G324" s="13"/>
      <c r="H324" s="13"/>
      <c r="I324" s="13"/>
      <c r="J324" s="13"/>
      <c r="K324" s="13"/>
    </row>
    <row r="325" spans="1:11" x14ac:dyDescent="0.3">
      <c r="A325" s="13"/>
      <c r="B325" s="13"/>
      <c r="C325" s="13"/>
      <c r="D325" s="14"/>
      <c r="E325" s="27"/>
      <c r="F325" s="13"/>
      <c r="G325" s="13"/>
      <c r="H325" s="13"/>
      <c r="I325" s="13"/>
      <c r="J325" s="13"/>
      <c r="K325" s="13"/>
    </row>
    <row r="326" spans="1:11" x14ac:dyDescent="0.3">
      <c r="A326" s="13"/>
      <c r="B326" s="13"/>
      <c r="C326" s="13"/>
      <c r="D326" s="14"/>
      <c r="E326" s="27"/>
      <c r="F326" s="13"/>
      <c r="G326" s="13"/>
      <c r="H326" s="13"/>
      <c r="I326" s="13"/>
      <c r="J326" s="13"/>
      <c r="K326" s="13"/>
    </row>
    <row r="327" spans="1:11" x14ac:dyDescent="0.3">
      <c r="A327" s="13"/>
      <c r="B327" s="13"/>
      <c r="C327" s="13"/>
      <c r="D327" s="14"/>
      <c r="E327" s="27"/>
      <c r="F327" s="13"/>
      <c r="G327" s="13"/>
      <c r="H327" s="13"/>
      <c r="I327" s="13"/>
      <c r="J327" s="13"/>
      <c r="K327" s="13"/>
    </row>
    <row r="328" spans="1:11" x14ac:dyDescent="0.3">
      <c r="A328" s="13"/>
      <c r="B328" s="13"/>
      <c r="C328" s="13"/>
      <c r="D328" s="14"/>
      <c r="E328" s="27"/>
      <c r="F328" s="13"/>
      <c r="G328" s="13"/>
      <c r="H328" s="13"/>
      <c r="I328" s="13"/>
      <c r="J328" s="13"/>
      <c r="K328" s="13"/>
    </row>
    <row r="329" spans="1:11" x14ac:dyDescent="0.3">
      <c r="A329" s="13"/>
      <c r="B329" s="13"/>
      <c r="C329" s="13"/>
      <c r="D329" s="14"/>
      <c r="E329" s="27"/>
      <c r="F329" s="13"/>
      <c r="G329" s="13"/>
      <c r="H329" s="13"/>
      <c r="I329" s="13"/>
      <c r="J329" s="13"/>
      <c r="K329" s="13"/>
    </row>
    <row r="330" spans="1:11" x14ac:dyDescent="0.3">
      <c r="A330" s="13"/>
      <c r="B330" s="13"/>
      <c r="C330" s="13"/>
      <c r="D330" s="14"/>
      <c r="E330" s="27"/>
      <c r="F330" s="13"/>
      <c r="G330" s="13"/>
      <c r="H330" s="13"/>
      <c r="I330" s="13"/>
      <c r="J330" s="13"/>
      <c r="K330" s="13"/>
    </row>
    <row r="331" spans="1:11" x14ac:dyDescent="0.3">
      <c r="A331" s="13"/>
      <c r="B331" s="13"/>
      <c r="C331" s="13"/>
      <c r="D331" s="14"/>
      <c r="E331" s="27"/>
      <c r="F331" s="13"/>
      <c r="G331" s="13"/>
      <c r="H331" s="13"/>
      <c r="I331" s="13"/>
      <c r="J331" s="13"/>
      <c r="K331" s="13"/>
    </row>
    <row r="332" spans="1:11" x14ac:dyDescent="0.3">
      <c r="A332" s="13"/>
      <c r="B332" s="13"/>
      <c r="C332" s="13"/>
      <c r="D332" s="14"/>
      <c r="E332" s="27"/>
      <c r="F332" s="13"/>
      <c r="G332" s="13"/>
      <c r="H332" s="13"/>
      <c r="I332" s="13"/>
      <c r="J332" s="13"/>
      <c r="K332" s="13"/>
    </row>
    <row r="333" spans="1:11" x14ac:dyDescent="0.3">
      <c r="A333" s="13"/>
      <c r="B333" s="13"/>
      <c r="C333" s="13"/>
      <c r="D333" s="14"/>
      <c r="E333" s="27"/>
      <c r="F333" s="13"/>
      <c r="G333" s="13"/>
      <c r="H333" s="13"/>
      <c r="I333" s="13"/>
      <c r="J333" s="13"/>
      <c r="K333" s="13"/>
    </row>
    <row r="334" spans="1:11" x14ac:dyDescent="0.3">
      <c r="A334" s="13"/>
      <c r="B334" s="13"/>
      <c r="C334" s="13"/>
      <c r="D334" s="14"/>
      <c r="E334" s="27"/>
      <c r="F334" s="13"/>
      <c r="G334" s="13"/>
      <c r="H334" s="13"/>
      <c r="I334" s="13"/>
      <c r="J334" s="13"/>
      <c r="K334" s="13"/>
    </row>
    <row r="335" spans="1:11" x14ac:dyDescent="0.3">
      <c r="A335" s="13"/>
      <c r="B335" s="13"/>
      <c r="C335" s="13"/>
      <c r="D335" s="14"/>
      <c r="E335" s="27"/>
      <c r="F335" s="13"/>
      <c r="G335" s="13"/>
      <c r="H335" s="13"/>
      <c r="I335" s="13"/>
      <c r="J335" s="13"/>
      <c r="K335" s="13"/>
    </row>
    <row r="336" spans="1:11" x14ac:dyDescent="0.3">
      <c r="A336" s="13"/>
      <c r="B336" s="13"/>
      <c r="C336" s="13"/>
      <c r="D336" s="14"/>
      <c r="E336" s="27"/>
      <c r="F336" s="13"/>
      <c r="G336" s="13"/>
      <c r="H336" s="13"/>
      <c r="I336" s="13"/>
      <c r="J336" s="13"/>
      <c r="K336" s="13"/>
    </row>
    <row r="337" spans="1:11" x14ac:dyDescent="0.3">
      <c r="A337" s="13"/>
      <c r="B337" s="13"/>
      <c r="C337" s="13"/>
      <c r="D337" s="14"/>
      <c r="E337" s="27"/>
      <c r="F337" s="13"/>
      <c r="G337" s="13"/>
      <c r="H337" s="13"/>
      <c r="I337" s="13"/>
      <c r="J337" s="13"/>
      <c r="K337" s="13"/>
    </row>
    <row r="338" spans="1:11" x14ac:dyDescent="0.3">
      <c r="A338" s="13"/>
      <c r="B338" s="13"/>
      <c r="C338" s="13"/>
      <c r="D338" s="14"/>
      <c r="E338" s="27"/>
      <c r="F338" s="13"/>
      <c r="G338" s="13"/>
      <c r="H338" s="13"/>
      <c r="I338" s="13"/>
      <c r="J338" s="13"/>
      <c r="K338" s="13"/>
    </row>
    <row r="339" spans="1:11" x14ac:dyDescent="0.3">
      <c r="A339" s="13"/>
      <c r="B339" s="13"/>
      <c r="C339" s="13"/>
      <c r="D339" s="14"/>
      <c r="E339" s="27"/>
      <c r="F339" s="13"/>
      <c r="G339" s="13"/>
      <c r="H339" s="13"/>
      <c r="I339" s="13"/>
      <c r="J339" s="13"/>
      <c r="K339" s="13"/>
    </row>
    <row r="340" spans="1:11" x14ac:dyDescent="0.3">
      <c r="A340" s="13"/>
      <c r="B340" s="13"/>
      <c r="C340" s="13"/>
      <c r="D340" s="14"/>
      <c r="E340" s="27"/>
      <c r="F340" s="13"/>
      <c r="G340" s="13"/>
      <c r="H340" s="13"/>
      <c r="I340" s="13"/>
      <c r="J340" s="13"/>
      <c r="K340" s="13"/>
    </row>
    <row r="341" spans="1:11" x14ac:dyDescent="0.3">
      <c r="A341" s="13"/>
      <c r="B341" s="13"/>
      <c r="C341" s="13"/>
      <c r="D341" s="14"/>
      <c r="E341" s="27"/>
      <c r="F341" s="13"/>
      <c r="G341" s="13"/>
      <c r="H341" s="13"/>
      <c r="I341" s="13"/>
      <c r="J341" s="13"/>
      <c r="K341" s="13"/>
    </row>
    <row r="342" spans="1:11" x14ac:dyDescent="0.3">
      <c r="A342" s="13"/>
      <c r="B342" s="13"/>
      <c r="C342" s="13"/>
      <c r="D342" s="14"/>
      <c r="E342" s="27"/>
      <c r="F342" s="13"/>
      <c r="G342" s="13"/>
      <c r="H342" s="13"/>
      <c r="I342" s="13"/>
      <c r="J342" s="13"/>
      <c r="K342" s="13"/>
    </row>
    <row r="343" spans="1:11" x14ac:dyDescent="0.3">
      <c r="A343" s="13"/>
      <c r="B343" s="13"/>
      <c r="C343" s="13"/>
      <c r="D343" s="14"/>
      <c r="E343" s="27"/>
      <c r="F343" s="13"/>
      <c r="G343" s="13"/>
      <c r="H343" s="13"/>
      <c r="I343" s="13"/>
      <c r="J343" s="13"/>
      <c r="K343" s="13"/>
    </row>
    <row r="344" spans="1:11" x14ac:dyDescent="0.3">
      <c r="A344" s="13"/>
      <c r="B344" s="13"/>
      <c r="C344" s="13"/>
      <c r="D344" s="14"/>
      <c r="E344" s="27"/>
      <c r="F344" s="13"/>
      <c r="G344" s="13"/>
      <c r="H344" s="13"/>
      <c r="I344" s="13"/>
      <c r="J344" s="13"/>
      <c r="K344" s="13"/>
    </row>
    <row r="345" spans="1:11" x14ac:dyDescent="0.3">
      <c r="A345" s="13"/>
      <c r="B345" s="13"/>
      <c r="C345" s="13"/>
      <c r="D345" s="14"/>
      <c r="E345" s="27"/>
      <c r="F345" s="13"/>
      <c r="G345" s="13"/>
      <c r="H345" s="13"/>
      <c r="I345" s="13"/>
      <c r="J345" s="13"/>
      <c r="K345" s="13"/>
    </row>
    <row r="346" spans="1:11" x14ac:dyDescent="0.3">
      <c r="A346" s="13"/>
      <c r="B346" s="13"/>
      <c r="C346" s="13"/>
      <c r="D346" s="14"/>
      <c r="E346" s="27"/>
      <c r="F346" s="13"/>
      <c r="G346" s="13"/>
      <c r="H346" s="13"/>
      <c r="I346" s="13"/>
      <c r="J346" s="13"/>
      <c r="K346" s="13"/>
    </row>
    <row r="347" spans="1:11" x14ac:dyDescent="0.3">
      <c r="A347" s="13"/>
      <c r="B347" s="13"/>
      <c r="C347" s="13"/>
      <c r="D347" s="14"/>
      <c r="E347" s="27"/>
      <c r="F347" s="13"/>
      <c r="G347" s="13"/>
      <c r="H347" s="13"/>
      <c r="I347" s="13"/>
      <c r="J347" s="13"/>
      <c r="K347" s="13"/>
    </row>
    <row r="348" spans="1:11" x14ac:dyDescent="0.3">
      <c r="A348" s="13"/>
      <c r="B348" s="13"/>
      <c r="C348" s="13"/>
      <c r="D348" s="14"/>
      <c r="E348" s="27"/>
      <c r="F348" s="13"/>
      <c r="G348" s="13"/>
      <c r="H348" s="13"/>
      <c r="I348" s="13"/>
      <c r="J348" s="13"/>
      <c r="K348" s="13"/>
    </row>
    <row r="349" spans="1:11" x14ac:dyDescent="0.3">
      <c r="A349" s="13"/>
      <c r="B349" s="13"/>
      <c r="C349" s="13"/>
      <c r="D349" s="14"/>
      <c r="E349" s="27"/>
      <c r="F349" s="13"/>
      <c r="G349" s="13"/>
      <c r="H349" s="13"/>
      <c r="I349" s="13"/>
      <c r="J349" s="13"/>
      <c r="K349" s="13"/>
    </row>
    <row r="350" spans="1:11" x14ac:dyDescent="0.3">
      <c r="A350" s="13"/>
      <c r="B350" s="13"/>
      <c r="C350" s="13"/>
      <c r="D350" s="14"/>
      <c r="E350" s="27"/>
      <c r="F350" s="13"/>
      <c r="G350" s="13"/>
      <c r="H350" s="13"/>
      <c r="I350" s="13"/>
      <c r="J350" s="13"/>
      <c r="K350" s="13"/>
    </row>
    <row r="351" spans="1:11" x14ac:dyDescent="0.3">
      <c r="A351" s="13"/>
      <c r="B351" s="13"/>
      <c r="C351" s="13"/>
      <c r="D351" s="14"/>
      <c r="E351" s="27"/>
      <c r="F351" s="13"/>
      <c r="G351" s="13"/>
      <c r="H351" s="13"/>
      <c r="I351" s="13"/>
      <c r="J351" s="13"/>
      <c r="K351" s="13"/>
    </row>
    <row r="352" spans="1:11" x14ac:dyDescent="0.3">
      <c r="A352" s="13"/>
      <c r="B352" s="13"/>
      <c r="C352" s="13"/>
      <c r="D352" s="14"/>
      <c r="E352" s="27"/>
      <c r="F352" s="13"/>
      <c r="G352" s="13"/>
      <c r="H352" s="13"/>
      <c r="I352" s="13"/>
      <c r="J352" s="13"/>
      <c r="K352" s="13"/>
    </row>
    <row r="353" spans="1:11" x14ac:dyDescent="0.3">
      <c r="A353" s="13"/>
      <c r="B353" s="13"/>
      <c r="C353" s="13"/>
      <c r="D353" s="14"/>
      <c r="E353" s="27"/>
      <c r="F353" s="13"/>
      <c r="G353" s="13"/>
      <c r="H353" s="13"/>
      <c r="I353" s="13"/>
      <c r="J353" s="13"/>
      <c r="K353" s="13"/>
    </row>
    <row r="354" spans="1:11" x14ac:dyDescent="0.3">
      <c r="A354" s="13"/>
      <c r="B354" s="13"/>
      <c r="C354" s="13"/>
      <c r="D354" s="14"/>
      <c r="E354" s="27"/>
      <c r="F354" s="13"/>
      <c r="G354" s="13"/>
      <c r="H354" s="13"/>
      <c r="I354" s="13"/>
      <c r="J354" s="13"/>
      <c r="K354" s="13"/>
    </row>
    <row r="355" spans="1:11" x14ac:dyDescent="0.3">
      <c r="A355" s="13"/>
      <c r="B355" s="13"/>
      <c r="C355" s="13"/>
      <c r="D355" s="14"/>
      <c r="E355" s="27"/>
      <c r="F355" s="13"/>
      <c r="G355" s="13"/>
      <c r="H355" s="13"/>
      <c r="I355" s="13"/>
      <c r="J355" s="13"/>
      <c r="K355" s="13"/>
    </row>
    <row r="356" spans="1:11" x14ac:dyDescent="0.3">
      <c r="A356" s="13"/>
      <c r="B356" s="13"/>
      <c r="C356" s="13"/>
      <c r="D356" s="14"/>
      <c r="E356" s="27"/>
      <c r="F356" s="13"/>
      <c r="G356" s="13"/>
      <c r="H356" s="13"/>
      <c r="I356" s="13"/>
      <c r="J356" s="13"/>
      <c r="K356" s="13"/>
    </row>
    <row r="357" spans="1:11" x14ac:dyDescent="0.3">
      <c r="A357" s="13"/>
      <c r="B357" s="13"/>
      <c r="C357" s="13"/>
      <c r="D357" s="14"/>
      <c r="E357" s="27"/>
      <c r="F357" s="13"/>
      <c r="G357" s="13"/>
      <c r="H357" s="13"/>
      <c r="I357" s="13"/>
      <c r="J357" s="13"/>
      <c r="K357" s="13"/>
    </row>
    <row r="358" spans="1:11" x14ac:dyDescent="0.3">
      <c r="A358" s="13"/>
      <c r="B358" s="13"/>
      <c r="C358" s="13"/>
      <c r="D358" s="14"/>
      <c r="E358" s="27"/>
      <c r="F358" s="13"/>
      <c r="G358" s="13"/>
      <c r="H358" s="13"/>
      <c r="I358" s="13"/>
      <c r="J358" s="13"/>
      <c r="K358" s="13"/>
    </row>
    <row r="359" spans="1:11" x14ac:dyDescent="0.3">
      <c r="A359" s="13"/>
      <c r="B359" s="13"/>
      <c r="C359" s="13"/>
      <c r="D359" s="14"/>
      <c r="E359" s="27"/>
      <c r="F359" s="13"/>
      <c r="G359" s="13"/>
      <c r="H359" s="13"/>
      <c r="I359" s="13"/>
      <c r="J359" s="13"/>
      <c r="K359" s="13"/>
    </row>
    <row r="360" spans="1:11" x14ac:dyDescent="0.3">
      <c r="A360" s="13"/>
      <c r="B360" s="13"/>
      <c r="C360" s="13"/>
      <c r="D360" s="14"/>
      <c r="E360" s="27"/>
      <c r="F360" s="13"/>
      <c r="G360" s="13"/>
      <c r="H360" s="13"/>
      <c r="I360" s="13"/>
      <c r="J360" s="13"/>
      <c r="K360" s="13"/>
    </row>
    <row r="361" spans="1:11" x14ac:dyDescent="0.3">
      <c r="A361" s="13"/>
      <c r="B361" s="13"/>
      <c r="C361" s="13"/>
      <c r="D361" s="14"/>
      <c r="E361" s="27"/>
      <c r="F361" s="13"/>
      <c r="G361" s="13"/>
      <c r="H361" s="13"/>
      <c r="I361" s="13"/>
      <c r="J361" s="13"/>
      <c r="K361" s="13"/>
    </row>
    <row r="362" spans="1:11" x14ac:dyDescent="0.3">
      <c r="A362" s="13"/>
      <c r="B362" s="13"/>
      <c r="C362" s="13"/>
      <c r="D362" s="14"/>
      <c r="E362" s="27"/>
      <c r="F362" s="13"/>
      <c r="G362" s="13"/>
      <c r="H362" s="13"/>
      <c r="I362" s="13"/>
      <c r="J362" s="13"/>
      <c r="K362" s="13"/>
    </row>
    <row r="363" spans="1:11" x14ac:dyDescent="0.3">
      <c r="A363" s="13"/>
      <c r="B363" s="13"/>
      <c r="C363" s="13"/>
      <c r="D363" s="14"/>
      <c r="E363" s="27"/>
      <c r="F363" s="13"/>
      <c r="G363" s="13"/>
      <c r="H363" s="13"/>
      <c r="I363" s="13"/>
      <c r="J363" s="13"/>
      <c r="K363" s="13"/>
    </row>
    <row r="364" spans="1:11" x14ac:dyDescent="0.3">
      <c r="A364" s="13"/>
      <c r="B364" s="13"/>
      <c r="C364" s="13"/>
      <c r="D364" s="14"/>
      <c r="E364" s="27"/>
      <c r="F364" s="13"/>
      <c r="G364" s="13"/>
      <c r="H364" s="13"/>
      <c r="I364" s="13"/>
      <c r="J364" s="13"/>
      <c r="K364" s="13"/>
    </row>
    <row r="365" spans="1:11" x14ac:dyDescent="0.3">
      <c r="A365" s="13"/>
      <c r="B365" s="13"/>
      <c r="C365" s="13"/>
      <c r="D365" s="14"/>
      <c r="E365" s="27"/>
      <c r="F365" s="13"/>
      <c r="G365" s="13"/>
      <c r="H365" s="13"/>
      <c r="I365" s="13"/>
      <c r="J365" s="13"/>
      <c r="K365" s="13"/>
    </row>
    <row r="366" spans="1:11" x14ac:dyDescent="0.3">
      <c r="A366" s="13"/>
      <c r="B366" s="13"/>
      <c r="C366" s="13"/>
      <c r="D366" s="14"/>
      <c r="E366" s="27"/>
      <c r="F366" s="13"/>
      <c r="G366" s="13"/>
      <c r="H366" s="13"/>
      <c r="I366" s="13"/>
      <c r="J366" s="13"/>
      <c r="K366" s="13"/>
    </row>
    <row r="367" spans="1:11" x14ac:dyDescent="0.3">
      <c r="A367" s="13"/>
      <c r="B367" s="13"/>
      <c r="C367" s="13"/>
      <c r="D367" s="14"/>
      <c r="E367" s="27"/>
      <c r="F367" s="13"/>
      <c r="G367" s="13"/>
      <c r="H367" s="13"/>
      <c r="I367" s="13"/>
      <c r="J367" s="13"/>
      <c r="K367" s="13"/>
    </row>
    <row r="368" spans="1:11" x14ac:dyDescent="0.3">
      <c r="A368" s="13"/>
      <c r="B368" s="13"/>
      <c r="C368" s="13"/>
      <c r="D368" s="14"/>
      <c r="E368" s="27"/>
      <c r="F368" s="13"/>
      <c r="G368" s="13"/>
      <c r="H368" s="13"/>
      <c r="I368" s="13"/>
      <c r="J368" s="13"/>
      <c r="K368" s="13"/>
    </row>
    <row r="369" spans="1:11" x14ac:dyDescent="0.3">
      <c r="A369" s="13"/>
      <c r="B369" s="13"/>
      <c r="C369" s="13"/>
      <c r="D369" s="14"/>
      <c r="E369" s="27"/>
      <c r="F369" s="13"/>
      <c r="G369" s="13"/>
      <c r="H369" s="13"/>
      <c r="I369" s="13"/>
      <c r="J369" s="13"/>
      <c r="K369" s="13"/>
    </row>
    <row r="370" spans="1:11" x14ac:dyDescent="0.3">
      <c r="A370" s="13"/>
      <c r="B370" s="13"/>
      <c r="C370" s="13"/>
      <c r="D370" s="14"/>
      <c r="E370" s="27"/>
      <c r="F370" s="13"/>
      <c r="G370" s="13"/>
      <c r="H370" s="13"/>
      <c r="I370" s="13"/>
      <c r="J370" s="13"/>
      <c r="K370" s="13"/>
    </row>
    <row r="371" spans="1:11" x14ac:dyDescent="0.3">
      <c r="A371" s="13"/>
      <c r="B371" s="13"/>
      <c r="C371" s="13"/>
      <c r="D371" s="14"/>
      <c r="E371" s="27"/>
      <c r="F371" s="13"/>
      <c r="G371" s="13"/>
      <c r="H371" s="13"/>
      <c r="I371" s="13"/>
      <c r="J371" s="13"/>
      <c r="K371" s="13"/>
    </row>
    <row r="372" spans="1:11" x14ac:dyDescent="0.3">
      <c r="A372" s="13"/>
      <c r="B372" s="13"/>
      <c r="C372" s="13"/>
      <c r="D372" s="14"/>
      <c r="E372" s="27"/>
      <c r="F372" s="13"/>
      <c r="G372" s="13"/>
      <c r="H372" s="13"/>
      <c r="I372" s="13"/>
      <c r="J372" s="13"/>
      <c r="K372" s="13"/>
    </row>
    <row r="373" spans="1:11" x14ac:dyDescent="0.3">
      <c r="A373" s="13"/>
      <c r="B373" s="13"/>
      <c r="C373" s="13"/>
      <c r="D373" s="14"/>
      <c r="E373" s="27"/>
      <c r="F373" s="13"/>
      <c r="G373" s="13"/>
      <c r="H373" s="13"/>
      <c r="I373" s="13"/>
      <c r="J373" s="13"/>
      <c r="K373" s="13"/>
    </row>
    <row r="374" spans="1:11" x14ac:dyDescent="0.3">
      <c r="A374" s="13"/>
      <c r="B374" s="13"/>
      <c r="C374" s="13"/>
      <c r="D374" s="14"/>
      <c r="E374" s="27"/>
      <c r="F374" s="13"/>
      <c r="G374" s="13"/>
      <c r="H374" s="13"/>
      <c r="I374" s="13"/>
      <c r="J374" s="13"/>
      <c r="K374" s="13"/>
    </row>
    <row r="375" spans="1:11" x14ac:dyDescent="0.3">
      <c r="A375" s="13"/>
      <c r="B375" s="13"/>
      <c r="C375" s="13"/>
      <c r="D375" s="14"/>
      <c r="E375" s="27"/>
      <c r="F375" s="13"/>
      <c r="G375" s="13"/>
      <c r="H375" s="13"/>
      <c r="I375" s="13"/>
      <c r="J375" s="13"/>
      <c r="K375" s="13"/>
    </row>
    <row r="376" spans="1:11" x14ac:dyDescent="0.3">
      <c r="A376" s="13"/>
      <c r="B376" s="13"/>
      <c r="C376" s="13"/>
      <c r="D376" s="14"/>
      <c r="E376" s="27"/>
      <c r="F376" s="13"/>
      <c r="G376" s="13"/>
      <c r="H376" s="13"/>
      <c r="I376" s="13"/>
      <c r="J376" s="13"/>
      <c r="K376" s="13"/>
    </row>
    <row r="377" spans="1:11" x14ac:dyDescent="0.3">
      <c r="A377" s="13"/>
      <c r="B377" s="13"/>
      <c r="C377" s="13"/>
      <c r="D377" s="14"/>
      <c r="E377" s="27"/>
      <c r="F377" s="13"/>
      <c r="G377" s="13"/>
      <c r="H377" s="13"/>
      <c r="I377" s="13"/>
      <c r="J377" s="13"/>
      <c r="K377" s="13"/>
    </row>
    <row r="378" spans="1:11" x14ac:dyDescent="0.3">
      <c r="A378" s="13"/>
      <c r="B378" s="13"/>
      <c r="C378" s="13"/>
      <c r="D378" s="14"/>
      <c r="E378" s="27"/>
      <c r="F378" s="13"/>
      <c r="G378" s="13"/>
      <c r="H378" s="13"/>
      <c r="I378" s="13"/>
      <c r="J378" s="13"/>
      <c r="K378" s="13"/>
    </row>
    <row r="379" spans="1:11" x14ac:dyDescent="0.3">
      <c r="A379" s="13"/>
      <c r="B379" s="13"/>
      <c r="C379" s="13"/>
      <c r="D379" s="14"/>
      <c r="E379" s="27"/>
      <c r="F379" s="13"/>
      <c r="G379" s="13"/>
      <c r="H379" s="13"/>
      <c r="I379" s="13"/>
      <c r="J379" s="13"/>
      <c r="K379" s="13"/>
    </row>
    <row r="380" spans="1:11" x14ac:dyDescent="0.3">
      <c r="A380" s="13"/>
      <c r="B380" s="13"/>
      <c r="C380" s="13"/>
      <c r="D380" s="14"/>
      <c r="E380" s="27"/>
      <c r="F380" s="13"/>
      <c r="G380" s="13"/>
      <c r="H380" s="13"/>
      <c r="I380" s="13"/>
      <c r="J380" s="13"/>
      <c r="K380" s="13"/>
    </row>
    <row r="381" spans="1:11" x14ac:dyDescent="0.3">
      <c r="A381" s="13"/>
      <c r="B381" s="13"/>
      <c r="C381" s="13"/>
      <c r="D381" s="14"/>
      <c r="E381" s="27"/>
      <c r="F381" s="13"/>
      <c r="G381" s="13"/>
      <c r="H381" s="13"/>
      <c r="I381" s="13"/>
      <c r="J381" s="13"/>
      <c r="K381" s="13"/>
    </row>
    <row r="382" spans="1:11" x14ac:dyDescent="0.3">
      <c r="A382" s="13"/>
      <c r="B382" s="13"/>
      <c r="C382" s="13"/>
      <c r="D382" s="14"/>
      <c r="E382" s="27"/>
      <c r="F382" s="13"/>
      <c r="G382" s="13"/>
      <c r="H382" s="13"/>
      <c r="I382" s="13"/>
      <c r="J382" s="13"/>
      <c r="K382" s="13"/>
    </row>
    <row r="383" spans="1:11" x14ac:dyDescent="0.3">
      <c r="A383" s="13"/>
      <c r="B383" s="13"/>
      <c r="C383" s="13"/>
      <c r="D383" s="14"/>
      <c r="E383" s="27"/>
      <c r="F383" s="13"/>
      <c r="G383" s="13"/>
      <c r="H383" s="13"/>
      <c r="I383" s="13"/>
      <c r="J383" s="13"/>
      <c r="K383" s="13"/>
    </row>
    <row r="384" spans="1:11" x14ac:dyDescent="0.3">
      <c r="A384" s="13"/>
      <c r="B384" s="13"/>
      <c r="C384" s="13"/>
      <c r="D384" s="14"/>
      <c r="E384" s="27"/>
      <c r="F384" s="13"/>
      <c r="G384" s="13"/>
      <c r="H384" s="13"/>
      <c r="I384" s="13"/>
      <c r="J384" s="13"/>
      <c r="K384" s="13"/>
    </row>
    <row r="385" spans="1:11" x14ac:dyDescent="0.3">
      <c r="A385" s="13"/>
      <c r="B385" s="13"/>
      <c r="C385" s="13"/>
      <c r="D385" s="14"/>
      <c r="E385" s="27"/>
      <c r="F385" s="13"/>
      <c r="G385" s="13"/>
      <c r="H385" s="13"/>
      <c r="I385" s="13"/>
      <c r="J385" s="13"/>
      <c r="K385" s="13"/>
    </row>
    <row r="386" spans="1:11" x14ac:dyDescent="0.3">
      <c r="A386" s="13"/>
      <c r="B386" s="13"/>
      <c r="C386" s="13"/>
      <c r="D386" s="14"/>
      <c r="E386" s="27"/>
      <c r="F386" s="13"/>
      <c r="G386" s="13"/>
      <c r="H386" s="13"/>
      <c r="I386" s="13"/>
      <c r="J386" s="13"/>
      <c r="K386" s="13"/>
    </row>
    <row r="387" spans="1:11" x14ac:dyDescent="0.3">
      <c r="A387" s="13"/>
      <c r="B387" s="13"/>
      <c r="C387" s="13"/>
      <c r="D387" s="14"/>
      <c r="E387" s="27"/>
      <c r="F387" s="13"/>
      <c r="G387" s="13"/>
      <c r="H387" s="13"/>
      <c r="I387" s="13"/>
      <c r="J387" s="13"/>
      <c r="K387" s="13"/>
    </row>
    <row r="388" spans="1:11" x14ac:dyDescent="0.3">
      <c r="A388" s="13"/>
      <c r="B388" s="13"/>
      <c r="C388" s="13"/>
      <c r="D388" s="14"/>
      <c r="E388" s="27"/>
      <c r="F388" s="13"/>
      <c r="G388" s="13"/>
      <c r="H388" s="13"/>
      <c r="I388" s="13"/>
      <c r="J388" s="13"/>
      <c r="K388" s="13"/>
    </row>
    <row r="389" spans="1:11" x14ac:dyDescent="0.3">
      <c r="A389" s="13"/>
      <c r="B389" s="13"/>
      <c r="C389" s="13"/>
      <c r="D389" s="14"/>
      <c r="E389" s="27"/>
      <c r="F389" s="13"/>
      <c r="G389" s="13"/>
      <c r="H389" s="13"/>
      <c r="I389" s="13"/>
      <c r="J389" s="13"/>
      <c r="K389" s="13"/>
    </row>
  </sheetData>
  <conditionalFormatting sqref="A2:A389">
    <cfRule type="duplicateValues" dxfId="3" priority="6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F3FA6-723B-4B39-93B5-2599EB94D4BF}">
  <dimension ref="A1:F3"/>
  <sheetViews>
    <sheetView workbookViewId="0">
      <selection activeCell="D5" sqref="D5"/>
    </sheetView>
  </sheetViews>
  <sheetFormatPr baseColWidth="10" defaultRowHeight="14.5" x14ac:dyDescent="0.35"/>
  <cols>
    <col min="1" max="1" width="13.08984375" bestFit="1" customWidth="1"/>
    <col min="2" max="2" width="17.36328125" customWidth="1"/>
    <col min="3" max="3" width="16.7265625" customWidth="1"/>
    <col min="4" max="4" width="17.54296875" customWidth="1"/>
    <col min="5" max="5" width="28.453125" bestFit="1" customWidth="1"/>
  </cols>
  <sheetData>
    <row r="1" spans="1:6" x14ac:dyDescent="0.35">
      <c r="A1" s="8" t="s">
        <v>60</v>
      </c>
      <c r="B1" s="8" t="s">
        <v>39</v>
      </c>
      <c r="C1" s="8" t="s">
        <v>42</v>
      </c>
      <c r="D1" s="8" t="s">
        <v>57</v>
      </c>
      <c r="E1" s="8" t="s">
        <v>58</v>
      </c>
      <c r="F1" s="8" t="s">
        <v>59</v>
      </c>
    </row>
    <row r="2" spans="1:6" x14ac:dyDescent="0.35">
      <c r="A2" s="6" t="s">
        <v>61</v>
      </c>
      <c r="B2" s="9">
        <v>115000000</v>
      </c>
      <c r="C2" s="9"/>
      <c r="D2" s="9">
        <v>69566531</v>
      </c>
      <c r="E2" s="3">
        <f>+C2+D2</f>
        <v>69566531</v>
      </c>
      <c r="F2" s="4">
        <f>+E2/B2</f>
        <v>0.60492635652173909</v>
      </c>
    </row>
    <row r="3" spans="1:6" x14ac:dyDescent="0.35">
      <c r="A3" s="6" t="s">
        <v>62</v>
      </c>
      <c r="B3" s="10">
        <v>1655492410</v>
      </c>
      <c r="C3" s="9">
        <v>50092346</v>
      </c>
      <c r="D3" s="9">
        <v>297137428</v>
      </c>
      <c r="E3" s="3">
        <f>+C3+D3</f>
        <v>347229774</v>
      </c>
      <c r="F3" s="4">
        <f>+E3/B3</f>
        <v>0.20974410507868169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4F2D-BB74-41A3-869B-13D1F018B324}">
  <dimension ref="A1:B1"/>
  <sheetViews>
    <sheetView workbookViewId="0">
      <selection activeCell="A2" sqref="A2:XFD9"/>
    </sheetView>
  </sheetViews>
  <sheetFormatPr baseColWidth="10" defaultRowHeight="14.5" x14ac:dyDescent="0.35"/>
  <cols>
    <col min="2" max="2" width="101.90625" bestFit="1" customWidth="1"/>
  </cols>
  <sheetData>
    <row r="1" spans="1:2" x14ac:dyDescent="0.35">
      <c r="A1" s="37" t="s">
        <v>1</v>
      </c>
      <c r="B1" s="37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F53A7-9EC5-4544-B8A6-AAEFF6F033FE}">
  <dimension ref="A1:G1"/>
  <sheetViews>
    <sheetView workbookViewId="0">
      <selection activeCell="C9" sqref="C9"/>
    </sheetView>
  </sheetViews>
  <sheetFormatPr baseColWidth="10" defaultRowHeight="10.5" customHeight="1" x14ac:dyDescent="0.35"/>
  <cols>
    <col min="1" max="1" width="7" bestFit="1" customWidth="1"/>
    <col min="2" max="2" width="10.7265625" bestFit="1" customWidth="1"/>
    <col min="3" max="3" width="34.08984375" bestFit="1" customWidth="1"/>
    <col min="4" max="4" width="11" style="1" bestFit="1" customWidth="1"/>
    <col min="5" max="5" width="10.6328125" bestFit="1" customWidth="1"/>
    <col min="6" max="6" width="10.26953125" style="1" bestFit="1" customWidth="1"/>
    <col min="7" max="7" width="11" style="1" bestFit="1" customWidth="1"/>
  </cols>
  <sheetData>
    <row r="1" spans="1:7" s="35" customFormat="1" ht="10.5" customHeight="1" x14ac:dyDescent="0.35">
      <c r="A1" s="31" t="s">
        <v>1</v>
      </c>
      <c r="B1" s="31" t="s">
        <v>68</v>
      </c>
      <c r="C1" s="32" t="s">
        <v>69</v>
      </c>
      <c r="D1" s="33" t="s">
        <v>70</v>
      </c>
      <c r="E1" s="34" t="s">
        <v>72</v>
      </c>
      <c r="F1" s="38" t="s">
        <v>73</v>
      </c>
      <c r="G1" s="38" t="s">
        <v>74</v>
      </c>
    </row>
  </sheetData>
  <conditionalFormatting sqref="A1">
    <cfRule type="duplicateValues" dxfId="2" priority="39"/>
    <cfRule type="duplicateValues" dxfId="1" priority="40"/>
  </conditionalFormatting>
  <conditionalFormatting sqref="A1:A1048576">
    <cfRule type="duplicateValues" dxfId="0" priority="2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COMO VAMOS</vt:lpstr>
      <vt:lpstr>PRELIMINAR</vt:lpstr>
      <vt:lpstr>PAGOS</vt:lpstr>
      <vt:lpstr>SEGUIMIENTO</vt:lpstr>
      <vt:lpstr>TABLA</vt:lpstr>
      <vt:lpstr>REINTEGROS</vt:lpstr>
      <vt:lpstr>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ALDAIR AVILA VERGARA</dc:creator>
  <cp:lastModifiedBy>LIDER CARTERA</cp:lastModifiedBy>
  <dcterms:created xsi:type="dcterms:W3CDTF">2025-05-22T13:19:26Z</dcterms:created>
  <dcterms:modified xsi:type="dcterms:W3CDTF">2025-09-25T12:41:17Z</dcterms:modified>
</cp:coreProperties>
</file>